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801"/>
  <workbookPr defaultThemeVersion="124226"/>
  <mc:AlternateContent xmlns:mc="http://schemas.openxmlformats.org/markup-compatibility/2006">
    <mc:Choice Requires="x15">
      <x15ac:absPath xmlns:x15ac="http://schemas.microsoft.com/office/spreadsheetml/2010/11/ac" url="Z:\MAC\EXTCLNT\PreStart\"/>
    </mc:Choice>
  </mc:AlternateContent>
  <xr:revisionPtr revIDLastSave="0" documentId="13_ncr:1_{EDC70241-5E96-4241-B374-E82F36EF5301}" xr6:coauthVersionLast="46" xr6:coauthVersionMax="46" xr10:uidLastSave="{00000000-0000-0000-0000-000000000000}"/>
  <bookViews>
    <workbookView xWindow="-120" yWindow="-120" windowWidth="20640" windowHeight="11160" tabRatio="877" firstSheet="1" activeTab="1" xr2:uid="{00000000-000D-0000-FFFF-FFFF00000000}"/>
  </bookViews>
  <sheets>
    <sheet name="Titles" sheetId="20" state="hidden" r:id="rId1"/>
    <sheet name="Index" sheetId="21" r:id="rId2"/>
    <sheet name="Notes" sheetId="27" r:id="rId3"/>
    <sheet name="Table 1" sheetId="1" r:id="rId4"/>
    <sheet name="Table 2" sheetId="2" r:id="rId5"/>
    <sheet name="Table 3" sheetId="9" r:id="rId6"/>
    <sheet name="Table 4" sheetId="8" r:id="rId7"/>
    <sheet name="Table 5" sheetId="10" r:id="rId8"/>
    <sheet name="Table 6" sheetId="7" r:id="rId9"/>
    <sheet name="Table 7" sheetId="6" r:id="rId10"/>
    <sheet name="Table 8" sheetId="5" r:id="rId11"/>
    <sheet name="Table 9" sheetId="14" r:id="rId12"/>
    <sheet name="Table 10" sheetId="15" r:id="rId13"/>
    <sheet name="Table 11" sheetId="17" r:id="rId14"/>
    <sheet name="Table 12" sheetId="18" r:id="rId15"/>
    <sheet name="Table 13" sheetId="19" r:id="rId16"/>
    <sheet name="Table 14" sheetId="16" r:id="rId17"/>
    <sheet name="Table 15" sheetId="3" r:id="rId18"/>
    <sheet name="Table 16" sheetId="4" r:id="rId19"/>
    <sheet name="Tables 17-18" sheetId="11" r:id="rId20"/>
    <sheet name="Tables 19-20" sheetId="13" r:id="rId21"/>
    <sheet name="Symbols" sheetId="22" r:id="rId22"/>
    <sheet name="Survey Coverage" sheetId="23" r:id="rId23"/>
    <sheet name="Definitions" sheetId="24" r:id="rId24"/>
    <sheet name="Type of Dwelling" sheetId="25" r:id="rId25"/>
  </sheets>
  <definedNames>
    <definedName name="_AMO_UniqueIdentifier" hidden="1">"'85d32fe5-3fd1-4b82-8636-b82e6852f433'"</definedName>
    <definedName name="_xlnm.Print_Area" localSheetId="3">'Table 1'!$A$1:$K$63</definedName>
    <definedName name="_xlnm.Print_Area" localSheetId="12">'Table 10'!$A$1:$I$48</definedName>
    <definedName name="_xlnm.Print_Area" localSheetId="13">'Table 11'!$A$1:$H$49</definedName>
    <definedName name="_xlnm.Print_Area" localSheetId="14">'Table 12'!$A$1:$H$49</definedName>
    <definedName name="_xlnm.Print_Area" localSheetId="15">'Table 13'!$A$1:$H$49</definedName>
    <definedName name="_xlnm.Print_Area" localSheetId="16">'Table 14'!$A$1:$H$49</definedName>
    <definedName name="_xlnm.Print_Area" localSheetId="17">'Table 15'!$A$1:$F$44</definedName>
    <definedName name="_xlnm.Print_Area" localSheetId="18">'Table 16'!$A$1:$I$47</definedName>
    <definedName name="_xlnm.Print_Area" localSheetId="4">'Table 2'!$A$1:$K$61</definedName>
    <definedName name="_xlnm.Print_Area" localSheetId="5">'Table 3'!$A$1:$H$50</definedName>
    <definedName name="_xlnm.Print_Area" localSheetId="6">'Table 4'!$A$1:$J$47</definedName>
    <definedName name="_xlnm.Print_Area" localSheetId="7">'Table 5'!$A$1:$I$61</definedName>
    <definedName name="_xlnm.Print_Area" localSheetId="8">'Table 6'!$A$1:$H$62</definedName>
    <definedName name="_xlnm.Print_Area" localSheetId="9">'Table 7'!$A$1:$G$61</definedName>
    <definedName name="_xlnm.Print_Area" localSheetId="10">'Table 8'!$A$1:$H$49</definedName>
    <definedName name="_xlnm.Print_Area" localSheetId="11">'Table 9'!$A$1:$H$48</definedName>
    <definedName name="_xlnm.Print_Area" localSheetId="19">'Tables 17-18'!$A$1:$L$57</definedName>
    <definedName name="_xlnm.Print_Area" localSheetId="20">'Tables 19-20'!$A$1:$H$41</definedName>
    <definedName name="_xlnm.Print_Area">'Table 1'!$A$1:$L$63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 i="1" l="1"/>
  <c r="A4" i="1"/>
  <c r="J13" i="1"/>
  <c r="I15" i="1"/>
  <c r="A61" i="1"/>
  <c r="A62" i="1"/>
  <c r="F41" i="8"/>
  <c r="H24" i="9"/>
  <c r="A39" i="13"/>
  <c r="A38" i="13"/>
  <c r="A52" i="11"/>
  <c r="F11" i="9"/>
  <c r="A45" i="4"/>
  <c r="A44" i="3"/>
  <c r="A44" i="16"/>
  <c r="A46" i="16"/>
  <c r="A46" i="19"/>
  <c r="A46" i="18"/>
  <c r="A46" i="17"/>
  <c r="A46" i="15"/>
  <c r="A46" i="14"/>
  <c r="A46" i="5"/>
  <c r="A59" i="6"/>
  <c r="A61" i="7"/>
  <c r="A59" i="10"/>
  <c r="A45" i="8"/>
  <c r="A49" i="9"/>
  <c r="A43" i="4"/>
  <c r="A43" i="3"/>
  <c r="A44" i="19"/>
  <c r="A44" i="18"/>
  <c r="A44" i="17"/>
  <c r="A44" i="15"/>
  <c r="A44" i="14"/>
  <c r="A44" i="5"/>
  <c r="A57" i="6"/>
  <c r="A59" i="7"/>
  <c r="A57" i="10"/>
  <c r="A43" i="8"/>
  <c r="A47" i="9"/>
  <c r="F12" i="9"/>
  <c r="A45" i="10"/>
  <c r="A33" i="10"/>
  <c r="A21" i="10"/>
  <c r="A35" i="9"/>
  <c r="A22" i="9"/>
  <c r="A62" i="2"/>
  <c r="A61" i="2"/>
  <c r="A4" i="2"/>
  <c r="A2" i="2"/>
  <c r="H19" i="9"/>
  <c r="H18" i="9"/>
  <c r="L28" i="11"/>
  <c r="L27" i="11"/>
  <c r="L26" i="11"/>
  <c r="L25" i="11"/>
  <c r="H26" i="9"/>
  <c r="H28" i="9"/>
  <c r="H30" i="9"/>
  <c r="H31" i="9"/>
  <c r="H32" i="9"/>
  <c r="H22" i="9"/>
  <c r="H21" i="8"/>
  <c r="G21" i="8"/>
  <c r="F32" i="8"/>
  <c r="I50" i="11" l="1"/>
  <c r="G37" i="13"/>
  <c r="H17" i="13"/>
  <c r="I40" i="8"/>
  <c r="H16" i="13"/>
  <c r="G36" i="13"/>
  <c r="I49" i="11"/>
  <c r="I48" i="11"/>
  <c r="G35" i="13"/>
  <c r="L24" i="11"/>
  <c r="L23" i="11"/>
  <c r="L22" i="11"/>
  <c r="H15" i="13"/>
  <c r="J13" i="2"/>
  <c r="L20" i="11"/>
  <c r="L21" i="11"/>
  <c r="H36" i="9"/>
  <c r="I32" i="8"/>
  <c r="E30" i="8"/>
  <c r="E41" i="8"/>
  <c r="G56" i="6"/>
  <c r="H32" i="8"/>
  <c r="F40" i="8"/>
  <c r="E32" i="8"/>
  <c r="E53" i="2"/>
  <c r="E56" i="1"/>
  <c r="E33" i="1"/>
  <c r="E28" i="1"/>
  <c r="E25" i="1"/>
  <c r="E24" i="1"/>
  <c r="J28" i="1"/>
  <c r="J24" i="1"/>
  <c r="I11" i="1"/>
  <c r="H8" i="1"/>
  <c r="E10" i="1"/>
  <c r="E9" i="1"/>
  <c r="J10" i="1"/>
  <c r="H13" i="9"/>
  <c r="H49" i="7"/>
  <c r="H52" i="7"/>
  <c r="H57" i="7"/>
  <c r="I47" i="11"/>
  <c r="H43" i="9"/>
  <c r="G55" i="6"/>
  <c r="H14" i="13"/>
  <c r="H38" i="9"/>
  <c r="H42" i="9"/>
  <c r="H46" i="9"/>
  <c r="H50" i="7"/>
  <c r="J24" i="8"/>
  <c r="G42" i="8"/>
  <c r="L19" i="11"/>
  <c r="G34" i="13"/>
  <c r="J20" i="8"/>
  <c r="F30" i="8"/>
  <c r="H29" i="9"/>
  <c r="H17" i="1"/>
  <c r="I36" i="2"/>
  <c r="E56" i="2"/>
  <c r="J24" i="2"/>
  <c r="I34" i="2"/>
  <c r="I40" i="2"/>
  <c r="F22" i="8"/>
  <c r="L17" i="11"/>
  <c r="H39" i="2"/>
  <c r="H28" i="2"/>
  <c r="J13" i="11"/>
  <c r="I17" i="2"/>
  <c r="E13" i="2"/>
  <c r="E11" i="2"/>
  <c r="I9" i="2"/>
  <c r="I32" i="2"/>
  <c r="E24" i="2"/>
  <c r="I24" i="2"/>
  <c r="H19" i="2"/>
  <c r="H10" i="2"/>
  <c r="H39" i="7"/>
  <c r="H35" i="9"/>
  <c r="I50" i="10"/>
  <c r="I54" i="10"/>
  <c r="J15" i="11"/>
  <c r="K16" i="11"/>
  <c r="J16" i="11"/>
  <c r="L16" i="11" s="1"/>
  <c r="G49" i="6"/>
  <c r="G54" i="6"/>
  <c r="H40" i="9"/>
  <c r="H44" i="9"/>
  <c r="G30" i="8"/>
  <c r="H16" i="2"/>
  <c r="J15" i="2"/>
  <c r="H9" i="2"/>
  <c r="H15" i="2"/>
  <c r="I56" i="2"/>
  <c r="J17" i="8"/>
  <c r="J17" i="2"/>
  <c r="E48" i="2"/>
  <c r="J16" i="2"/>
  <c r="I53" i="2"/>
  <c r="I21" i="8"/>
  <c r="I33" i="10"/>
  <c r="I35" i="10"/>
  <c r="I39" i="10"/>
  <c r="I40" i="10"/>
  <c r="I44" i="10"/>
  <c r="L18" i="11"/>
  <c r="G30" i="13"/>
  <c r="G31" i="8"/>
  <c r="I31" i="8"/>
  <c r="E42" i="8"/>
  <c r="G40" i="8"/>
  <c r="H40" i="8"/>
  <c r="I42" i="8"/>
  <c r="J28" i="8"/>
  <c r="E32" i="2"/>
  <c r="J9" i="2"/>
  <c r="K9" i="2" s="1"/>
  <c r="H17" i="2"/>
  <c r="E21" i="8"/>
  <c r="G31" i="13"/>
  <c r="I14" i="8"/>
  <c r="G14" i="8"/>
  <c r="H49" i="1"/>
  <c r="H48" i="1"/>
  <c r="I45" i="1"/>
  <c r="H33" i="1"/>
  <c r="K13" i="11"/>
  <c r="I45" i="11"/>
  <c r="H15" i="8"/>
  <c r="J49" i="1"/>
  <c r="E48" i="1"/>
  <c r="I37" i="2"/>
  <c r="H27" i="9"/>
  <c r="H45" i="2"/>
  <c r="H13" i="2"/>
  <c r="I26" i="2"/>
  <c r="G22" i="8"/>
  <c r="I47" i="10"/>
  <c r="I55" i="10"/>
  <c r="J14" i="11"/>
  <c r="I43" i="11"/>
  <c r="G32" i="13"/>
  <c r="H14" i="8"/>
  <c r="E14" i="8"/>
  <c r="I41" i="8"/>
  <c r="E51" i="2"/>
  <c r="C18" i="1"/>
  <c r="H21" i="9"/>
  <c r="J19" i="2"/>
  <c r="J8" i="2"/>
  <c r="C41" i="2"/>
  <c r="C60" i="2" s="1"/>
  <c r="I42" i="2"/>
  <c r="H23" i="9"/>
  <c r="I24" i="10"/>
  <c r="I25" i="10"/>
  <c r="I34" i="10"/>
  <c r="H35" i="7"/>
  <c r="G36" i="6"/>
  <c r="G40" i="6"/>
  <c r="G52" i="6"/>
  <c r="I15" i="8"/>
  <c r="G15" i="8"/>
  <c r="J38" i="8"/>
  <c r="H41" i="8"/>
  <c r="H59" i="1"/>
  <c r="H58" i="1"/>
  <c r="H37" i="7"/>
  <c r="H38" i="7"/>
  <c r="H40" i="7"/>
  <c r="H42" i="7"/>
  <c r="H43" i="7"/>
  <c r="H44" i="7"/>
  <c r="H48" i="7"/>
  <c r="H56" i="7"/>
  <c r="H58" i="7"/>
  <c r="G22" i="6"/>
  <c r="G26" i="6"/>
  <c r="G29" i="6"/>
  <c r="G30" i="6"/>
  <c r="G33" i="6"/>
  <c r="G35" i="6"/>
  <c r="G38" i="6"/>
  <c r="G43" i="6"/>
  <c r="G51" i="6"/>
  <c r="G53" i="6"/>
  <c r="H10" i="13"/>
  <c r="K14" i="11"/>
  <c r="H25" i="9"/>
  <c r="E31" i="8"/>
  <c r="I30" i="8"/>
  <c r="J34" i="8"/>
  <c r="H14" i="9"/>
  <c r="J58" i="1"/>
  <c r="J47" i="1"/>
  <c r="E45" i="1"/>
  <c r="J19" i="1"/>
  <c r="J19" i="8"/>
  <c r="I23" i="10"/>
  <c r="I26" i="10"/>
  <c r="I27" i="10"/>
  <c r="I31" i="10"/>
  <c r="I38" i="10"/>
  <c r="I45" i="10"/>
  <c r="I53" i="10"/>
  <c r="H23" i="7"/>
  <c r="H24" i="7"/>
  <c r="H26" i="7"/>
  <c r="H27" i="7"/>
  <c r="H28" i="7"/>
  <c r="H29" i="7"/>
  <c r="H31" i="7"/>
  <c r="H32" i="7"/>
  <c r="H55" i="7"/>
  <c r="G21" i="6"/>
  <c r="G25" i="6"/>
  <c r="G32" i="6"/>
  <c r="G34" i="6"/>
  <c r="G42" i="6"/>
  <c r="G45" i="6"/>
  <c r="G48" i="6"/>
  <c r="G50" i="6"/>
  <c r="I42" i="11"/>
  <c r="H11" i="13"/>
  <c r="H39" i="9"/>
  <c r="J13" i="8"/>
  <c r="F15" i="8"/>
  <c r="H41" i="9"/>
  <c r="H45" i="9"/>
  <c r="F31" i="8"/>
  <c r="H30" i="8"/>
  <c r="J39" i="8"/>
  <c r="G41" i="8"/>
  <c r="H42" i="8"/>
  <c r="I22" i="8"/>
  <c r="J27" i="8"/>
  <c r="E40" i="8"/>
  <c r="J18" i="8"/>
  <c r="F21" i="8"/>
  <c r="H22" i="8"/>
  <c r="I22" i="10"/>
  <c r="I30" i="10"/>
  <c r="I37" i="10"/>
  <c r="I41" i="10"/>
  <c r="I48" i="10"/>
  <c r="I49" i="10"/>
  <c r="I52" i="10"/>
  <c r="I56" i="10"/>
  <c r="H30" i="7"/>
  <c r="H34" i="7"/>
  <c r="H36" i="7"/>
  <c r="H54" i="7"/>
  <c r="G24" i="6"/>
  <c r="G28" i="6"/>
  <c r="G37" i="6"/>
  <c r="G41" i="6"/>
  <c r="G44" i="6"/>
  <c r="G47" i="6"/>
  <c r="I44" i="11"/>
  <c r="H20" i="9"/>
  <c r="J11" i="8"/>
  <c r="J12" i="8"/>
  <c r="H33" i="9"/>
  <c r="H31" i="8"/>
  <c r="J35" i="8"/>
  <c r="F42" i="8"/>
  <c r="J36" i="8"/>
  <c r="H37" i="9"/>
  <c r="I21" i="10"/>
  <c r="I28" i="10"/>
  <c r="I29" i="10"/>
  <c r="I32" i="10"/>
  <c r="I36" i="10"/>
  <c r="I42" i="10"/>
  <c r="I43" i="10"/>
  <c r="I46" i="10"/>
  <c r="I51" i="10"/>
  <c r="H25" i="7"/>
  <c r="H33" i="7"/>
  <c r="H41" i="7"/>
  <c r="H45" i="7"/>
  <c r="H46" i="7"/>
  <c r="H47" i="7"/>
  <c r="H51" i="7"/>
  <c r="H53" i="7"/>
  <c r="G23" i="6"/>
  <c r="G27" i="6"/>
  <c r="G31" i="6"/>
  <c r="G39" i="6"/>
  <c r="G46" i="6"/>
  <c r="H12" i="13"/>
  <c r="H13" i="13"/>
  <c r="G33" i="13"/>
  <c r="J29" i="8"/>
  <c r="K15" i="11"/>
  <c r="F14" i="8"/>
  <c r="G32" i="8"/>
  <c r="H16" i="9"/>
  <c r="H15" i="9"/>
  <c r="I35" i="2"/>
  <c r="H59" i="2"/>
  <c r="H34" i="2"/>
  <c r="I54" i="2"/>
  <c r="H36" i="2"/>
  <c r="I43" i="2"/>
  <c r="I55" i="2"/>
  <c r="I59" i="2"/>
  <c r="H37" i="2"/>
  <c r="I33" i="2"/>
  <c r="H52" i="2"/>
  <c r="H50" i="2"/>
  <c r="E43" i="2"/>
  <c r="E34" i="2"/>
  <c r="I23" i="2"/>
  <c r="I46" i="2"/>
  <c r="F12" i="2"/>
  <c r="H14" i="2"/>
  <c r="J10" i="2"/>
  <c r="E17" i="2"/>
  <c r="F18" i="2"/>
  <c r="G18" i="2"/>
  <c r="J14" i="2"/>
  <c r="E8" i="2"/>
  <c r="J11" i="2"/>
  <c r="I8" i="2"/>
  <c r="D18" i="2"/>
  <c r="E10" i="2"/>
  <c r="D12" i="2"/>
  <c r="I11" i="2"/>
  <c r="H54" i="1"/>
  <c r="H51" i="1"/>
  <c r="J50" i="1"/>
  <c r="H47" i="1"/>
  <c r="G41" i="1"/>
  <c r="G60" i="1" s="1"/>
  <c r="G69" i="1" s="1"/>
  <c r="I33" i="1"/>
  <c r="H30" i="1"/>
  <c r="H53" i="1"/>
  <c r="H50" i="1"/>
  <c r="E53" i="1"/>
  <c r="H45" i="1"/>
  <c r="H43" i="1"/>
  <c r="H40" i="1"/>
  <c r="H38" i="1"/>
  <c r="H36" i="1"/>
  <c r="H35" i="1"/>
  <c r="J30" i="1"/>
  <c r="H28" i="1"/>
  <c r="H27" i="1"/>
  <c r="H25" i="1"/>
  <c r="H24" i="1"/>
  <c r="J44" i="1"/>
  <c r="J25" i="1"/>
  <c r="J52" i="1"/>
  <c r="E51" i="1"/>
  <c r="E39" i="1"/>
  <c r="J48" i="2"/>
  <c r="J56" i="1"/>
  <c r="J40" i="1"/>
  <c r="J39" i="1"/>
  <c r="E32" i="1"/>
  <c r="E31" i="1"/>
  <c r="I25" i="1"/>
  <c r="E52" i="1"/>
  <c r="E40" i="1"/>
  <c r="J44" i="2"/>
  <c r="E54" i="1"/>
  <c r="J48" i="1"/>
  <c r="E47" i="1"/>
  <c r="E46" i="1"/>
  <c r="J36" i="1"/>
  <c r="E34" i="1"/>
  <c r="H16" i="1"/>
  <c r="H14" i="1"/>
  <c r="H10" i="1"/>
  <c r="E19" i="1"/>
  <c r="J14" i="1"/>
  <c r="J11" i="1"/>
  <c r="E8" i="1"/>
  <c r="E11" i="1"/>
  <c r="E16" i="1"/>
  <c r="E22" i="8"/>
  <c r="J37" i="8"/>
  <c r="E15" i="8"/>
  <c r="J10" i="8"/>
  <c r="J26" i="8"/>
  <c r="J25" i="8"/>
  <c r="E16" i="2"/>
  <c r="I16" i="2"/>
  <c r="K16" i="2" s="1"/>
  <c r="I38" i="2"/>
  <c r="I10" i="2"/>
  <c r="C18" i="2"/>
  <c r="I14" i="2"/>
  <c r="E49" i="1"/>
  <c r="I49" i="1"/>
  <c r="H37" i="1"/>
  <c r="J31" i="1"/>
  <c r="H31" i="2"/>
  <c r="E30" i="1"/>
  <c r="E29" i="1"/>
  <c r="I29" i="1"/>
  <c r="H19" i="1"/>
  <c r="I19" i="1"/>
  <c r="F18" i="1"/>
  <c r="E39" i="2"/>
  <c r="E49" i="2"/>
  <c r="I51" i="2"/>
  <c r="I58" i="2"/>
  <c r="J57" i="1"/>
  <c r="E35" i="2"/>
  <c r="J34" i="2"/>
  <c r="I15" i="2"/>
  <c r="I13" i="2"/>
  <c r="E14" i="2"/>
  <c r="E47" i="2"/>
  <c r="E19" i="2"/>
  <c r="I19" i="2"/>
  <c r="E9" i="2"/>
  <c r="C12" i="2"/>
  <c r="H11" i="2"/>
  <c r="I45" i="2"/>
  <c r="I47" i="2"/>
  <c r="H57" i="1"/>
  <c r="E57" i="1"/>
  <c r="I57" i="1"/>
  <c r="H46" i="1"/>
  <c r="E38" i="1"/>
  <c r="E37" i="1"/>
  <c r="I37" i="1"/>
  <c r="E36" i="1"/>
  <c r="H34" i="1"/>
  <c r="J33" i="1"/>
  <c r="K33" i="1" s="1"/>
  <c r="J33" i="2"/>
  <c r="H29" i="1"/>
  <c r="E15" i="1"/>
  <c r="H9" i="1"/>
  <c r="I8" i="1"/>
  <c r="J8" i="1"/>
  <c r="D12" i="1"/>
  <c r="F41" i="1"/>
  <c r="H42" i="1"/>
  <c r="J42" i="1"/>
  <c r="J42" i="2"/>
  <c r="J32" i="1"/>
  <c r="H32" i="2"/>
  <c r="H26" i="1"/>
  <c r="H8" i="2"/>
  <c r="G12" i="2"/>
  <c r="I49" i="2"/>
  <c r="I53" i="1"/>
  <c r="E44" i="1"/>
  <c r="E43" i="1"/>
  <c r="J38" i="1"/>
  <c r="E38" i="2"/>
  <c r="H32" i="1"/>
  <c r="I16" i="1"/>
  <c r="J15" i="1"/>
  <c r="K15" i="1" s="1"/>
  <c r="I25" i="2"/>
  <c r="J59" i="1"/>
  <c r="J53" i="1"/>
  <c r="H51" i="2"/>
  <c r="E50" i="1"/>
  <c r="J45" i="1"/>
  <c r="H44" i="1"/>
  <c r="J43" i="1"/>
  <c r="E42" i="1"/>
  <c r="H39" i="1"/>
  <c r="E35" i="1"/>
  <c r="J34" i="1"/>
  <c r="H31" i="1"/>
  <c r="E27" i="1"/>
  <c r="J26" i="1"/>
  <c r="H23" i="1"/>
  <c r="H15" i="1"/>
  <c r="E14" i="1"/>
  <c r="E13" i="1"/>
  <c r="J9" i="1"/>
  <c r="I27" i="2"/>
  <c r="I31" i="2"/>
  <c r="I39" i="2"/>
  <c r="E29" i="2"/>
  <c r="H58" i="2"/>
  <c r="E15" i="2"/>
  <c r="H56" i="2"/>
  <c r="I44" i="2"/>
  <c r="I50" i="2"/>
  <c r="I52" i="2"/>
  <c r="J54" i="1"/>
  <c r="J46" i="1"/>
  <c r="J37" i="1"/>
  <c r="J35" i="2"/>
  <c r="J29" i="1"/>
  <c r="E26" i="1"/>
  <c r="J17" i="1"/>
  <c r="H13" i="1"/>
  <c r="H11" i="1"/>
  <c r="H55" i="2"/>
  <c r="J55" i="1"/>
  <c r="E58" i="1"/>
  <c r="H55" i="1"/>
  <c r="E59" i="1"/>
  <c r="I59" i="1"/>
  <c r="H52" i="1"/>
  <c r="I52" i="1"/>
  <c r="H56" i="1"/>
  <c r="I56" i="1"/>
  <c r="E55" i="1"/>
  <c r="I55" i="1"/>
  <c r="G41" i="2"/>
  <c r="E26" i="2"/>
  <c r="H47" i="2"/>
  <c r="J51" i="1"/>
  <c r="I48" i="1"/>
  <c r="I44" i="1"/>
  <c r="D41" i="1"/>
  <c r="I40" i="1"/>
  <c r="I36" i="1"/>
  <c r="J35" i="1"/>
  <c r="I32" i="1"/>
  <c r="I28" i="1"/>
  <c r="J27" i="1"/>
  <c r="I24" i="1"/>
  <c r="J23" i="1"/>
  <c r="I14" i="1"/>
  <c r="G12" i="1"/>
  <c r="C12" i="1"/>
  <c r="I10" i="1"/>
  <c r="H23" i="2"/>
  <c r="H42" i="2"/>
  <c r="I51" i="1"/>
  <c r="I47" i="1"/>
  <c r="I43" i="1"/>
  <c r="C41" i="1"/>
  <c r="C60" i="1" s="1"/>
  <c r="I39" i="1"/>
  <c r="I35" i="1"/>
  <c r="I31" i="1"/>
  <c r="I27" i="1"/>
  <c r="I23" i="1"/>
  <c r="E23" i="1"/>
  <c r="D18" i="1"/>
  <c r="I17" i="1"/>
  <c r="E17" i="1"/>
  <c r="J16" i="1"/>
  <c r="I13" i="1"/>
  <c r="K13" i="1" s="1"/>
  <c r="F12" i="1"/>
  <c r="I9" i="1"/>
  <c r="I58" i="1"/>
  <c r="I54" i="1"/>
  <c r="I50" i="1"/>
  <c r="I46" i="1"/>
  <c r="I42" i="1"/>
  <c r="I38" i="1"/>
  <c r="I34" i="1"/>
  <c r="I30" i="1"/>
  <c r="I26" i="1"/>
  <c r="G18" i="1"/>
  <c r="J54" i="2"/>
  <c r="E40" i="2"/>
  <c r="J40" i="2"/>
  <c r="E46" i="2"/>
  <c r="E28" i="2"/>
  <c r="E23" i="2"/>
  <c r="I29" i="2"/>
  <c r="H29" i="2"/>
  <c r="H48" i="2"/>
  <c r="I48" i="2"/>
  <c r="J56" i="2"/>
  <c r="E31" i="2"/>
  <c r="H26" i="2"/>
  <c r="E36" i="2"/>
  <c r="J36" i="2"/>
  <c r="J27" i="2"/>
  <c r="E27" i="2"/>
  <c r="H24" i="2"/>
  <c r="H30" i="2"/>
  <c r="I30" i="2"/>
  <c r="J58" i="2"/>
  <c r="E59" i="2"/>
  <c r="E52" i="2"/>
  <c r="J52" i="2"/>
  <c r="E50" i="2"/>
  <c r="J25" i="2"/>
  <c r="H40" i="2"/>
  <c r="H54" i="2"/>
  <c r="H33" i="2"/>
  <c r="H35" i="2"/>
  <c r="H57" i="2"/>
  <c r="E54" i="2"/>
  <c r="E55" i="2"/>
  <c r="H49" i="2"/>
  <c r="H27" i="2"/>
  <c r="J51" i="2"/>
  <c r="F41" i="2"/>
  <c r="H44" i="2"/>
  <c r="I57" i="2"/>
  <c r="H25" i="2"/>
  <c r="J39" i="2"/>
  <c r="I28" i="2"/>
  <c r="J29" i="2"/>
  <c r="E25" i="2"/>
  <c r="H38" i="2"/>
  <c r="H46" i="2"/>
  <c r="L15" i="11" l="1"/>
  <c r="K24" i="1"/>
  <c r="K44" i="1"/>
  <c r="K36" i="1"/>
  <c r="K10" i="1"/>
  <c r="K51" i="2"/>
  <c r="K13" i="2"/>
  <c r="K28" i="1"/>
  <c r="J41" i="1"/>
  <c r="K40" i="1"/>
  <c r="K30" i="1"/>
  <c r="H41" i="1"/>
  <c r="L14" i="11"/>
  <c r="K11" i="1"/>
  <c r="K40" i="2"/>
  <c r="K49" i="1"/>
  <c r="K36" i="2"/>
  <c r="J30" i="8"/>
  <c r="K8" i="2"/>
  <c r="K47" i="1"/>
  <c r="L13" i="11"/>
  <c r="K56" i="2"/>
  <c r="H18" i="2"/>
  <c r="J41" i="8"/>
  <c r="F20" i="2"/>
  <c r="H12" i="2"/>
  <c r="K24" i="2"/>
  <c r="K38" i="1"/>
  <c r="K54" i="1"/>
  <c r="K35" i="2"/>
  <c r="K34" i="2"/>
  <c r="K14" i="1"/>
  <c r="K15" i="2"/>
  <c r="I18" i="1"/>
  <c r="J21" i="8"/>
  <c r="J14" i="8"/>
  <c r="J31" i="2"/>
  <c r="K31" i="2" s="1"/>
  <c r="K42" i="2"/>
  <c r="J42" i="8"/>
  <c r="K50" i="1"/>
  <c r="K48" i="1"/>
  <c r="K33" i="2"/>
  <c r="K19" i="1"/>
  <c r="J31" i="8"/>
  <c r="J40" i="8"/>
  <c r="K17" i="2"/>
  <c r="K19" i="2"/>
  <c r="K43" i="1"/>
  <c r="K52" i="1"/>
  <c r="K45" i="1"/>
  <c r="K11" i="2"/>
  <c r="G60" i="2"/>
  <c r="K58" i="1"/>
  <c r="J32" i="2"/>
  <c r="K32" i="2" s="1"/>
  <c r="J43" i="2"/>
  <c r="K43" i="2" s="1"/>
  <c r="H43" i="2"/>
  <c r="K34" i="1"/>
  <c r="F60" i="1"/>
  <c r="H60" i="1" s="1"/>
  <c r="K8" i="1"/>
  <c r="J18" i="2"/>
  <c r="K44" i="2"/>
  <c r="K10" i="2"/>
  <c r="K56" i="1"/>
  <c r="J55" i="2"/>
  <c r="K55" i="2" s="1"/>
  <c r="K52" i="2"/>
  <c r="J32" i="8"/>
  <c r="J22" i="8"/>
  <c r="J15" i="8"/>
  <c r="E58" i="2"/>
  <c r="K54" i="2"/>
  <c r="K29" i="2"/>
  <c r="J28" i="2"/>
  <c r="K28" i="2" s="1"/>
  <c r="E44" i="2"/>
  <c r="K39" i="2"/>
  <c r="K14" i="2"/>
  <c r="D20" i="2"/>
  <c r="K53" i="1"/>
  <c r="D60" i="1"/>
  <c r="E60" i="1" s="1"/>
  <c r="K25" i="1"/>
  <c r="K26" i="1"/>
  <c r="J59" i="2"/>
  <c r="K59" i="2" s="1"/>
  <c r="K39" i="1"/>
  <c r="K51" i="1"/>
  <c r="K32" i="1"/>
  <c r="K37" i="1"/>
  <c r="K27" i="2"/>
  <c r="K58" i="2"/>
  <c r="K29" i="1"/>
  <c r="K48" i="2"/>
  <c r="J49" i="2"/>
  <c r="K49" i="2" s="1"/>
  <c r="K59" i="1"/>
  <c r="K17" i="1"/>
  <c r="H18" i="1"/>
  <c r="K16" i="1"/>
  <c r="C20" i="2"/>
  <c r="E12" i="2"/>
  <c r="I12" i="2"/>
  <c r="I18" i="2"/>
  <c r="E18" i="2"/>
  <c r="E42" i="2"/>
  <c r="J47" i="2"/>
  <c r="K47" i="2" s="1"/>
  <c r="K42" i="1"/>
  <c r="K35" i="1"/>
  <c r="G20" i="1"/>
  <c r="K55" i="1"/>
  <c r="D41" i="2"/>
  <c r="E41" i="2" s="1"/>
  <c r="K31" i="1"/>
  <c r="J38" i="2"/>
  <c r="K38" i="2" s="1"/>
  <c r="K25" i="2"/>
  <c r="K46" i="1"/>
  <c r="K9" i="1"/>
  <c r="K23" i="1"/>
  <c r="J12" i="2"/>
  <c r="G20" i="2"/>
  <c r="K57" i="1"/>
  <c r="E33" i="2"/>
  <c r="J23" i="2"/>
  <c r="K23" i="2" s="1"/>
  <c r="F20" i="1"/>
  <c r="H12" i="1"/>
  <c r="K27" i="1"/>
  <c r="E41" i="1"/>
  <c r="I41" i="1"/>
  <c r="J26" i="2"/>
  <c r="K26" i="2" s="1"/>
  <c r="J18" i="1"/>
  <c r="D20" i="1"/>
  <c r="E12" i="1"/>
  <c r="I12" i="1"/>
  <c r="C20" i="1"/>
  <c r="J30" i="2"/>
  <c r="K30" i="2" s="1"/>
  <c r="E30" i="2"/>
  <c r="J12" i="1"/>
  <c r="E18" i="1"/>
  <c r="J46" i="2"/>
  <c r="K46" i="2" s="1"/>
  <c r="H53" i="2"/>
  <c r="J53" i="2"/>
  <c r="K53" i="2" s="1"/>
  <c r="J37" i="2"/>
  <c r="K37" i="2" s="1"/>
  <c r="E37" i="2"/>
  <c r="J57" i="2"/>
  <c r="K57" i="2" s="1"/>
  <c r="E57" i="2"/>
  <c r="E45" i="2"/>
  <c r="J45" i="2"/>
  <c r="K45" i="2" s="1"/>
  <c r="J50" i="2"/>
  <c r="K50" i="2" s="1"/>
  <c r="I41" i="2"/>
  <c r="H41" i="2"/>
  <c r="F60" i="2"/>
  <c r="K41" i="1" l="1"/>
  <c r="H20" i="2"/>
  <c r="K18" i="1"/>
  <c r="I60" i="1"/>
  <c r="J60" i="1"/>
  <c r="J69" i="1" s="1"/>
  <c r="H20" i="1"/>
  <c r="K18" i="2"/>
  <c r="D69" i="1"/>
  <c r="J20" i="2"/>
  <c r="D60" i="2"/>
  <c r="J60" i="2" s="1"/>
  <c r="J41" i="2"/>
  <c r="K41" i="2" s="1"/>
  <c r="K12" i="2"/>
  <c r="J20" i="1"/>
  <c r="I20" i="2"/>
  <c r="E20" i="2"/>
  <c r="E20" i="1"/>
  <c r="I20" i="1"/>
  <c r="K20" i="1" s="1"/>
  <c r="K12" i="1"/>
  <c r="H60" i="2"/>
  <c r="I60" i="2"/>
  <c r="K60" i="1" l="1"/>
  <c r="K20" i="2"/>
  <c r="E60" i="2"/>
  <c r="K60" i="2"/>
</calcChain>
</file>

<file path=xl/sharedStrings.xml><?xml version="1.0" encoding="utf-8"?>
<sst xmlns="http://schemas.openxmlformats.org/spreadsheetml/2006/main" count="1049" uniqueCount="236">
  <si>
    <t xml:space="preserve">Area </t>
  </si>
  <si>
    <t>Province</t>
  </si>
  <si>
    <t>Nfld.Lab.</t>
  </si>
  <si>
    <t xml:space="preserve">P.E.I.    </t>
  </si>
  <si>
    <t xml:space="preserve">N.S.    </t>
  </si>
  <si>
    <t xml:space="preserve">N.B.    </t>
  </si>
  <si>
    <t>Atlantic</t>
  </si>
  <si>
    <t xml:space="preserve">Que.   </t>
  </si>
  <si>
    <t xml:space="preserve">Ont.    </t>
  </si>
  <si>
    <t xml:space="preserve">Man.    </t>
  </si>
  <si>
    <t xml:space="preserve">Sask.    </t>
  </si>
  <si>
    <t xml:space="preserve">Alta.    </t>
  </si>
  <si>
    <t>Prairies</t>
  </si>
  <si>
    <t xml:space="preserve">B.C.    </t>
  </si>
  <si>
    <t>Canada</t>
  </si>
  <si>
    <t>Metropolitan Areas</t>
  </si>
  <si>
    <t>Barrie</t>
  </si>
  <si>
    <t>Brantford</t>
  </si>
  <si>
    <t>Calgary</t>
  </si>
  <si>
    <t>Edmonton</t>
  </si>
  <si>
    <t>Guelph</t>
  </si>
  <si>
    <t>Halifax</t>
  </si>
  <si>
    <t>Hamilton</t>
  </si>
  <si>
    <t>Kelowna</t>
  </si>
  <si>
    <t>Kingston</t>
  </si>
  <si>
    <t>London</t>
  </si>
  <si>
    <t>Moncton</t>
  </si>
  <si>
    <t>Montréal</t>
  </si>
  <si>
    <t>Oshawa</t>
  </si>
  <si>
    <t>Ottawa-Gatineau</t>
  </si>
  <si>
    <t xml:space="preserve">  Gatineau</t>
  </si>
  <si>
    <t xml:space="preserve">  Ottawa</t>
  </si>
  <si>
    <t>Peterborough</t>
  </si>
  <si>
    <t>Québec</t>
  </si>
  <si>
    <t>Regina</t>
  </si>
  <si>
    <t>Saguenay</t>
  </si>
  <si>
    <t>Saint John</t>
  </si>
  <si>
    <t>Saskatoon</t>
  </si>
  <si>
    <t>Sherbrooke</t>
  </si>
  <si>
    <t>Thunder Bay</t>
  </si>
  <si>
    <t>Toronto</t>
  </si>
  <si>
    <t>Trois-Rivières</t>
  </si>
  <si>
    <t>Vancouver</t>
  </si>
  <si>
    <t>Victoria</t>
  </si>
  <si>
    <t>Windsor</t>
  </si>
  <si>
    <t>Winnipeg</t>
  </si>
  <si>
    <t>Total</t>
  </si>
  <si>
    <t>CMA total -new CMA's</t>
  </si>
  <si>
    <t xml:space="preserve">  %</t>
  </si>
  <si>
    <t>All Others</t>
  </si>
  <si>
    <t xml:space="preserve">Single-Detached </t>
  </si>
  <si>
    <t xml:space="preserve">Dwelling Starts in Urban Centres and Canada, Seasonally Adjusted at Annual Rates </t>
  </si>
  <si>
    <t/>
  </si>
  <si>
    <t>Single-</t>
  </si>
  <si>
    <t>Other</t>
  </si>
  <si>
    <t>Detached</t>
  </si>
  <si>
    <t>All</t>
  </si>
  <si>
    <t>Areas</t>
  </si>
  <si>
    <t>Others</t>
  </si>
  <si>
    <t>1st Q.</t>
  </si>
  <si>
    <t>2nd Q.</t>
  </si>
  <si>
    <t>3rd Q.</t>
  </si>
  <si>
    <t>4th Q.</t>
  </si>
  <si>
    <t>January</t>
  </si>
  <si>
    <t>February</t>
  </si>
  <si>
    <t>March</t>
  </si>
  <si>
    <t>April</t>
  </si>
  <si>
    <t>May</t>
  </si>
  <si>
    <t>June</t>
  </si>
  <si>
    <t>July</t>
  </si>
  <si>
    <t>August</t>
  </si>
  <si>
    <t>September</t>
  </si>
  <si>
    <t>October</t>
  </si>
  <si>
    <t>November</t>
  </si>
  <si>
    <t>December</t>
  </si>
  <si>
    <t xml:space="preserve">Period </t>
  </si>
  <si>
    <t>B. C.</t>
  </si>
  <si>
    <t>Ontario</t>
  </si>
  <si>
    <t>Single-Detached</t>
  </si>
  <si>
    <t>Newfoundland</t>
  </si>
  <si>
    <t>Nova Scotia</t>
  </si>
  <si>
    <t>New Brunswick</t>
  </si>
  <si>
    <t>Island</t>
  </si>
  <si>
    <t>Prince Edward</t>
  </si>
  <si>
    <t>Manitoba</t>
  </si>
  <si>
    <t>Saskatchewan</t>
  </si>
  <si>
    <t>Alberta</t>
  </si>
  <si>
    <t>Row, Apartment and Other Dwellings</t>
  </si>
  <si>
    <t>Completed</t>
  </si>
  <si>
    <t>% Absorbed at</t>
  </si>
  <si>
    <t>and</t>
  </si>
  <si>
    <t>Under</t>
  </si>
  <si>
    <t>Completion</t>
  </si>
  <si>
    <t>Unabsorbed</t>
  </si>
  <si>
    <t xml:space="preserve">Single-Detached and </t>
  </si>
  <si>
    <t>Dwelling Starts in Urban Centres and Canada, Seasonally Adjusted at Annual Rates</t>
  </si>
  <si>
    <t>Period</t>
  </si>
  <si>
    <r>
      <t>Centres 10,000 Population and Over</t>
    </r>
    <r>
      <rPr>
        <b/>
        <vertAlign val="superscript"/>
        <sz val="9"/>
        <color indexed="8"/>
        <rFont val="Gill Sans Std"/>
        <family val="2"/>
      </rPr>
      <t>1</t>
    </r>
  </si>
  <si>
    <t>Other Areas</t>
  </si>
  <si>
    <t>4h Q.</t>
  </si>
  <si>
    <t xml:space="preserve">Centres 10,000 Population </t>
  </si>
  <si>
    <r>
      <t>and Over</t>
    </r>
    <r>
      <rPr>
        <b/>
        <vertAlign val="superscript"/>
        <sz val="9"/>
        <color indexed="8"/>
        <rFont val="Gill Sans Std"/>
        <family val="2"/>
      </rPr>
      <t>1</t>
    </r>
  </si>
  <si>
    <t>B.C.</t>
  </si>
  <si>
    <t>Seasonally Adjusted at Annual Rates</t>
  </si>
  <si>
    <t>St. Catharines-Niagara</t>
  </si>
  <si>
    <t>St. John's</t>
  </si>
  <si>
    <t>Greater/Grand Sudbury</t>
  </si>
  <si>
    <t>Kitchener-Cambridge-Waterloo</t>
  </si>
  <si>
    <t>Abbotsford-Mission</t>
  </si>
  <si>
    <t xml:space="preserve"> </t>
  </si>
  <si>
    <t>Gatineau</t>
  </si>
  <si>
    <t>Ottawa</t>
  </si>
  <si>
    <t>St Catharines-Niagara</t>
  </si>
  <si>
    <t xml:space="preserve">Absorption of Homeowner and Condominium Units by Dwelling Type, </t>
  </si>
  <si>
    <r>
      <t>Construction</t>
    </r>
    <r>
      <rPr>
        <b/>
        <vertAlign val="superscript"/>
        <sz val="8"/>
        <color indexed="8"/>
        <rFont val="Gill Sans Std"/>
        <family val="2"/>
      </rPr>
      <t>2</t>
    </r>
  </si>
  <si>
    <t xml:space="preserve"> Source:  Market Analysis Centre, CMHC</t>
  </si>
  <si>
    <t xml:space="preserve">% Absorbed </t>
  </si>
  <si>
    <t>at Completion</t>
  </si>
  <si>
    <r>
      <t xml:space="preserve">2 </t>
    </r>
    <r>
      <rPr>
        <sz val="7"/>
        <color indexed="8"/>
        <rFont val="Gill Sans Std"/>
        <family val="2"/>
      </rPr>
      <t>Data are Actual Dwelling Starts.</t>
    </r>
  </si>
  <si>
    <t>Belleville</t>
  </si>
  <si>
    <t>Lethbridge</t>
  </si>
  <si>
    <t>Données provisoires sur les mises en chantier d'habitations</t>
  </si>
  <si>
    <t>2019</t>
  </si>
  <si>
    <t>2 Data are Actual Dwelling Starts.</t>
  </si>
  <si>
    <t xml:space="preserve"> 2 Under Construction does not include units where the intended market is unknown. </t>
  </si>
  <si>
    <t>provisoires</t>
  </si>
  <si>
    <t>révisées</t>
  </si>
  <si>
    <t xml:space="preserve">Footnotes </t>
  </si>
  <si>
    <r>
      <t>2019</t>
    </r>
    <r>
      <rPr>
        <b/>
        <vertAlign val="superscript"/>
        <sz val="9"/>
        <color indexed="8"/>
        <rFont val="Gill Sans Std"/>
        <family val="2"/>
      </rPr>
      <t xml:space="preserve"> 2</t>
    </r>
  </si>
  <si>
    <t>2020</t>
  </si>
  <si>
    <r>
      <t xml:space="preserve">2019 </t>
    </r>
    <r>
      <rPr>
        <b/>
        <vertAlign val="superscript"/>
        <sz val="9"/>
        <color indexed="8"/>
        <rFont val="Gill Sans Std"/>
        <family val="2"/>
      </rPr>
      <t>2</t>
    </r>
  </si>
  <si>
    <r>
      <t xml:space="preserve">2019 </t>
    </r>
    <r>
      <rPr>
        <b/>
        <vertAlign val="superscript"/>
        <sz val="9"/>
        <color indexed="8"/>
        <rFont val="Gill Sans Std"/>
        <family val="2"/>
      </rPr>
      <t>2</t>
    </r>
  </si>
  <si>
    <t>Données révisées sur les mises en chantier d'habitations</t>
  </si>
  <si>
    <t>Housing Start Data in Centres 10,000 Population and Over</t>
  </si>
  <si>
    <t>Data for  2020 and  2021  based on 2016 Census Definitions.</t>
  </si>
  <si>
    <t>2021  based on 2016 Census Definitions.</t>
  </si>
  <si>
    <r>
      <t>2020</t>
    </r>
    <r>
      <rPr>
        <b/>
        <vertAlign val="superscript"/>
        <sz val="9"/>
        <color indexed="8"/>
        <rFont val="Gill Sans Std"/>
        <family val="2"/>
      </rPr>
      <t>2</t>
    </r>
  </si>
  <si>
    <t>1 Data for 2020 and 2021 based on 2016 Census Definitions.</t>
  </si>
  <si>
    <r>
      <t xml:space="preserve">2019 </t>
    </r>
    <r>
      <rPr>
        <b/>
        <vertAlign val="superscript"/>
        <sz val="9"/>
        <color indexed="8"/>
        <rFont val="Gill Sans Std"/>
        <family val="2"/>
      </rPr>
      <t xml:space="preserve">2 </t>
    </r>
  </si>
  <si>
    <r>
      <t xml:space="preserve">2020 </t>
    </r>
    <r>
      <rPr>
        <b/>
        <vertAlign val="superscript"/>
        <sz val="9"/>
        <color indexed="8"/>
        <rFont val="Gill Sans Std"/>
        <family val="2"/>
      </rPr>
      <t>2</t>
    </r>
  </si>
  <si>
    <r>
      <t>2020</t>
    </r>
    <r>
      <rPr>
        <b/>
        <vertAlign val="superscript"/>
        <sz val="9"/>
        <color indexed="8"/>
        <rFont val="Gill Sans Std"/>
        <family val="2"/>
      </rPr>
      <t xml:space="preserve"> 2</t>
    </r>
  </si>
  <si>
    <t>2021</t>
  </si>
  <si>
    <r>
      <t xml:space="preserve">2020 </t>
    </r>
    <r>
      <rPr>
        <b/>
        <vertAlign val="superscript"/>
        <sz val="9"/>
        <color indexed="8"/>
        <rFont val="Gill Sans Std"/>
        <family val="2"/>
      </rPr>
      <t>2</t>
    </r>
  </si>
  <si>
    <t xml:space="preserve">Table 1 </t>
  </si>
  <si>
    <t>Table 2</t>
  </si>
  <si>
    <t xml:space="preserve">Table 4 </t>
  </si>
  <si>
    <t xml:space="preserve">Table 5 </t>
  </si>
  <si>
    <t>Table 6</t>
  </si>
  <si>
    <t>Table 7</t>
  </si>
  <si>
    <t>Table 8</t>
  </si>
  <si>
    <t>Table 10</t>
  </si>
  <si>
    <t>Table 11</t>
  </si>
  <si>
    <t>Table 12</t>
  </si>
  <si>
    <t>Table 13</t>
  </si>
  <si>
    <t>Table 14</t>
  </si>
  <si>
    <t xml:space="preserve">Table 15 </t>
  </si>
  <si>
    <t xml:space="preserve">Table 16 </t>
  </si>
  <si>
    <t>Table 19</t>
  </si>
  <si>
    <t>Table 17</t>
  </si>
  <si>
    <t>Table 20</t>
  </si>
  <si>
    <t xml:space="preserve"> Table 18</t>
  </si>
  <si>
    <t xml:space="preserve">Table 3 </t>
  </si>
  <si>
    <r>
      <t>Dwelling Starts in Urban Centres</t>
    </r>
    <r>
      <rPr>
        <b/>
        <vertAlign val="superscript"/>
        <sz val="11"/>
        <rFont val="Gill Sans Std"/>
        <family val="2"/>
      </rPr>
      <t>1</t>
    </r>
    <r>
      <rPr>
        <b/>
        <sz val="11"/>
        <rFont val="Gill Sans Std"/>
        <family val="2"/>
      </rPr>
      <t xml:space="preserve">, by Region, Seasonally Adjusted at Annual Rates </t>
    </r>
  </si>
  <si>
    <r>
      <t>Dwelling Starts in Urban Centres</t>
    </r>
    <r>
      <rPr>
        <b/>
        <vertAlign val="superscript"/>
        <sz val="11"/>
        <rFont val="Gill Sans Std"/>
        <family val="2"/>
      </rPr>
      <t>1</t>
    </r>
    <r>
      <rPr>
        <b/>
        <sz val="11"/>
        <rFont val="Gill Sans Std"/>
        <family val="2"/>
      </rPr>
      <t xml:space="preserve">,  by Region, Seasonally Adjusted at Annual Rates </t>
    </r>
  </si>
  <si>
    <r>
      <t>Dwelling Starts in Urban Centres</t>
    </r>
    <r>
      <rPr>
        <b/>
        <vertAlign val="superscript"/>
        <sz val="11"/>
        <rFont val="Gill Sans Std"/>
        <family val="2"/>
      </rPr>
      <t>1</t>
    </r>
    <r>
      <rPr>
        <b/>
        <sz val="11"/>
        <rFont val="Gill Sans Std"/>
        <family val="2"/>
      </rPr>
      <t xml:space="preserve">, Atlantic Provinces, Seasonally Adjusted at Annual Rates </t>
    </r>
  </si>
  <si>
    <r>
      <t>Dwelling Starts in Urban Centres</t>
    </r>
    <r>
      <rPr>
        <b/>
        <vertAlign val="superscript"/>
        <sz val="11"/>
        <rFont val="Gill Sans Std"/>
        <family val="2"/>
      </rPr>
      <t>1</t>
    </r>
    <r>
      <rPr>
        <b/>
        <sz val="11"/>
        <rFont val="Gill Sans Std"/>
        <family val="2"/>
      </rPr>
      <t>, Prairie Provinces, Seasonally Adjusted at Annual Rates</t>
    </r>
  </si>
  <si>
    <r>
      <t>Dwelling Starts - Seasonally Adjusted at Annual Rates</t>
    </r>
    <r>
      <rPr>
        <b/>
        <vertAlign val="superscript"/>
        <sz val="11"/>
        <rFont val="Gill Sans Std"/>
        <family val="2"/>
      </rPr>
      <t>1</t>
    </r>
  </si>
  <si>
    <r>
      <t xml:space="preserve">Table 9 - </t>
    </r>
    <r>
      <rPr>
        <b/>
        <i/>
        <sz val="11"/>
        <rFont val="Gill Sans Std"/>
        <family val="2"/>
      </rPr>
      <t>Tableau 9</t>
    </r>
    <r>
      <rPr>
        <b/>
        <sz val="11"/>
        <rFont val="Gill Sans Std"/>
        <family val="2"/>
      </rPr>
      <t xml:space="preserve"> </t>
    </r>
  </si>
  <si>
    <r>
      <t>in Metropolitan Areas, Large Urban Centres and Census Agglomerations</t>
    </r>
    <r>
      <rPr>
        <b/>
        <vertAlign val="superscript"/>
        <sz val="12"/>
        <rFont val="Gill Sans Std"/>
        <family val="2"/>
      </rPr>
      <t>1</t>
    </r>
  </si>
  <si>
    <r>
      <t>Dwelling Starts in Canada</t>
    </r>
    <r>
      <rPr>
        <b/>
        <vertAlign val="superscript"/>
        <sz val="11"/>
        <rFont val="Gill Sans Std"/>
        <family val="2"/>
      </rPr>
      <t>1</t>
    </r>
    <r>
      <rPr>
        <b/>
        <sz val="11"/>
        <rFont val="Gill Sans Std"/>
        <family val="2"/>
      </rPr>
      <t>, Atlantic Provinces, Seasonally Adjusted at Annual Rates</t>
    </r>
  </si>
  <si>
    <r>
      <t>Dwelling Starts in Canada</t>
    </r>
    <r>
      <rPr>
        <b/>
        <vertAlign val="superscript"/>
        <sz val="11"/>
        <rFont val="Gill Sans Std"/>
        <family val="2"/>
      </rPr>
      <t>1</t>
    </r>
    <r>
      <rPr>
        <b/>
        <sz val="11"/>
        <rFont val="Gill Sans Std"/>
        <family val="2"/>
      </rPr>
      <t xml:space="preserve">, Prairie Provinces, </t>
    </r>
  </si>
  <si>
    <r>
      <t>Dwelling Starts in Canada</t>
    </r>
    <r>
      <rPr>
        <b/>
        <vertAlign val="superscript"/>
        <sz val="11"/>
        <rFont val="Gill Sans Std"/>
        <family val="2"/>
      </rPr>
      <t>1</t>
    </r>
    <r>
      <rPr>
        <b/>
        <sz val="11"/>
        <rFont val="Gill Sans Std"/>
        <family val="2"/>
      </rPr>
      <t xml:space="preserve">, by Region, </t>
    </r>
  </si>
  <si>
    <t>CMHC HOUSING MARKET INFORMATION</t>
  </si>
  <si>
    <t>© 2021 Canada Mortgage and Housing Corporation</t>
  </si>
  <si>
    <t>TABLE OF CONTENTS</t>
  </si>
  <si>
    <t>The table of contents below provides a brief description of the contents in each tab.</t>
  </si>
  <si>
    <t xml:space="preserve">Symbols  </t>
  </si>
  <si>
    <t>Survey Coverage</t>
  </si>
  <si>
    <t xml:space="preserve">Concepts and Definitions </t>
  </si>
  <si>
    <t>Type of Dwelling</t>
  </si>
  <si>
    <t>Monthly Housing Starts and Other Construction Data</t>
  </si>
  <si>
    <t>Table 1: Housing Start Data in Centres 10,000 Population and Over</t>
  </si>
  <si>
    <t>Table 2: Housing Start Data in Centres 10,000 Population and Over (Cumulative)</t>
  </si>
  <si>
    <t xml:space="preserve">Table 3: Dwelling Starts in Urban Centres and Canada, Seasonally Adjusted at Annual Rates </t>
  </si>
  <si>
    <t xml:space="preserve">Table 4: Dwelling Starts in Urban Centres, by Region, Seasonally Adjusted at Annual Rates </t>
  </si>
  <si>
    <t xml:space="preserve">Table 5: Dwelling Starts in Urban Centres,  by Region, Seasonally Adjusted at Annual Rates </t>
  </si>
  <si>
    <t xml:space="preserve">Table 6: Dwelling Starts in Urban Centres, Atlantic Provinces, Seasonally Adjusted at Annual Rates </t>
  </si>
  <si>
    <t>Table 7: Dwelling Starts in Urban Centres, Prairie Provinces, Seasonally Adjusted at Annual Rates</t>
  </si>
  <si>
    <t>Table 8 to Table 15: Dwelling Starts - Seasonally Adjusted at Annual Rates</t>
  </si>
  <si>
    <t>Table 16: Absorption of Homeowner and Condominium Units by Dwelling Type,in Metropolitan Areas, Large Urban Centres and Census Agglomerations</t>
  </si>
  <si>
    <t>Table 17-18: Dwelling Starts in Urban Centres and Canada, Seasonally Adjusted at Annual Rates</t>
  </si>
  <si>
    <t>Table 19-20: Dwelling Starts in Canada1, Atlantic Provinces, Seasonally Adjusted at Annual Rates</t>
  </si>
  <si>
    <t>(r) Revised / Chiffres révisés</t>
  </si>
  <si>
    <t>Symbols</t>
  </si>
  <si>
    <t>** Not available</t>
  </si>
  <si>
    <t>+ Less than 1,000 units</t>
  </si>
  <si>
    <t>- Nil or Zero</t>
  </si>
  <si>
    <t>-- Amount too small to be expressed</t>
  </si>
  <si>
    <t xml:space="preserve">Survey Coverage </t>
  </si>
  <si>
    <t xml:space="preserve">The Starts and Completions Survey is carried out monthly in urban areas with populations in excess of 50,000 as defined by the 2011 Census.  
In urban areas with populations of 10,000 to 49,999, all Starts are enumerated in the last month of each quarter (i.e. four times a year, in March, June, September and December). 
In these centres with quarterly enumeration, Completion activity is modelled based on historical patterns. 
Monthly Starts and Completion activity in these quarterly locations are statistically estimated at a provincial level for single and multi categories.  
Centres with populations below 10,000 are enumerated on a sample basis, also in the last month of each quarter (i.e. in March, June, September and December). </t>
  </si>
  <si>
    <t xml:space="preserve">The Market Absorption Survey is carried out in conjunction with the Starts and Completions Survey in urban areas with populations in excess of 50,000.  
When a structure is recorded as completed, a report is also made as to whether or not a unit has been sold.  
The dwellings are then enumerated each month until such time as absorption occurs. </t>
  </si>
  <si>
    <t>The survey of conversions and demolitions follows the same collection frequency and methodology as new residential construction.</t>
  </si>
  <si>
    <t>Concepts and Definitions</t>
  </si>
  <si>
    <t>For multiple-dwelling structures, the definition of a Start or a Completion applies to the structure rather than to the individual dwelling units therein.</t>
  </si>
  <si>
    <t xml:space="preserve">Seasonally Adjusted at Annual Rate </t>
  </si>
  <si>
    <t xml:space="preserve">Seasonally Adjusted at Annual Rate (SAAR) is the result of adjusting monthly or quarterly statistics to provide an indication of the annual total which would be achieved if activity in all other 
months or quarters were at the same level of performance relative to past seasonal patterns. </t>
  </si>
  <si>
    <t>Type of dwelling</t>
  </si>
  <si>
    <t xml:space="preserve">The definitions of types of dwellings, used in the Surveys, are in accordance with those in the Census. </t>
  </si>
  <si>
    <t>Note to readers impact of COVID-19 on data collection efforts:</t>
  </si>
  <si>
    <t xml:space="preserve">Note to readers </t>
  </si>
  <si>
    <r>
      <t>A “</t>
    </r>
    <r>
      <rPr>
        <b/>
        <sz val="11"/>
        <color theme="1"/>
        <rFont val="Arial"/>
        <family val="2"/>
      </rPr>
      <t>start</t>
    </r>
    <r>
      <rPr>
        <sz val="11"/>
        <rFont val="Arial"/>
        <family val="2"/>
      </rPr>
      <t>” for the purposes of the Starts and Completions Survey, is defined as the beginning of construction work on a building, usually when the concrete has been poured
 for the whole of the footing around the structure, or an equivalent stage where a basement will not be part of the structure.</t>
    </r>
  </si>
  <si>
    <r>
      <t>A “</t>
    </r>
    <r>
      <rPr>
        <b/>
        <sz val="11"/>
        <color theme="1"/>
        <rFont val="Arial"/>
        <family val="2"/>
      </rPr>
      <t>completion</t>
    </r>
    <r>
      <rPr>
        <sz val="11"/>
        <rFont val="Arial"/>
        <family val="2"/>
      </rPr>
      <t>” is defined as the stage at which all proposed construction work on the building has been performed,
 although under some circumstances a building may be counted as completed where up to 10 percent of the proposed work remains to be done.</t>
    </r>
  </si>
  <si>
    <r>
      <t>The number of units “</t>
    </r>
    <r>
      <rPr>
        <b/>
        <sz val="11"/>
        <color theme="1"/>
        <rFont val="Arial"/>
        <family val="2"/>
      </rPr>
      <t>under construction</t>
    </r>
    <r>
      <rPr>
        <sz val="11"/>
        <rFont val="Arial"/>
        <family val="2"/>
      </rPr>
      <t>” as at the end of the period shown, takes into account certain adjustments which are necessary for various reasons.  
For example, after a start on a dwelling has commenced construction may cease, or a structure when completed may contain more or fewer dwelling units than were reported at start.</t>
    </r>
  </si>
  <si>
    <r>
      <t xml:space="preserve">A dwelling is defined as being </t>
    </r>
    <r>
      <rPr>
        <b/>
        <sz val="11"/>
        <color theme="1"/>
        <rFont val="Arial"/>
        <family val="2"/>
      </rPr>
      <t>“absorbed</t>
    </r>
    <r>
      <rPr>
        <sz val="11"/>
        <rFont val="Arial"/>
        <family val="2"/>
      </rPr>
      <t>” when a binding, non-conditional agreement is made to buy the dwelling.</t>
    </r>
  </si>
  <si>
    <r>
      <rPr>
        <b/>
        <sz val="11"/>
        <color theme="1"/>
        <rFont val="Arial"/>
        <family val="2"/>
      </rPr>
      <t>Only new self-contained dwelling units are enumerated in the Starts and Completions Survey</t>
    </r>
    <r>
      <rPr>
        <sz val="11"/>
        <rFont val="Arial"/>
        <family val="2"/>
      </rPr>
      <t>, such units being designed for non-transient and year-round occupancy.</t>
    </r>
  </si>
  <si>
    <r>
      <rPr>
        <b/>
        <sz val="11"/>
        <color theme="1"/>
        <rFont val="Arial"/>
        <family val="2"/>
      </rPr>
      <t>Seasonal dwellings</t>
    </r>
    <r>
      <rPr>
        <sz val="11"/>
        <rFont val="Arial"/>
        <family val="2"/>
      </rPr>
      <t xml:space="preserve">, such as:  summer cottages, hunting and ski cabins, trailers and boat houses; and </t>
    </r>
    <r>
      <rPr>
        <b/>
        <sz val="11"/>
        <color theme="1"/>
        <rFont val="Arial"/>
        <family val="2"/>
      </rPr>
      <t>hostel accommodation</t>
    </r>
    <r>
      <rPr>
        <sz val="11"/>
        <rFont val="Arial"/>
        <family val="2"/>
      </rPr>
      <t xml:space="preserve">, 
such as:  hospitals, nursing homes, penal institutions, convents, monasteries, military and industrial camps, and collective types of accommodation such as:  
hotels, clubs, and lodging homes are excluded from all residential housing surveys.  </t>
    </r>
  </si>
  <si>
    <r>
      <rPr>
        <b/>
        <sz val="11"/>
        <color theme="1"/>
        <rFont val="Arial"/>
        <family val="2"/>
      </rPr>
      <t>Mobile Homes</t>
    </r>
    <r>
      <rPr>
        <sz val="11"/>
        <rFont val="Arial"/>
        <family val="2"/>
      </rPr>
      <t xml:space="preserve"> are included in the surveys.  A mobile home is a type of manufactured house that is completely assembled in a factory, then moved to a foundation before it is occupied.</t>
    </r>
  </si>
  <si>
    <r>
      <rPr>
        <b/>
        <sz val="11"/>
        <color theme="1"/>
        <rFont val="Arial"/>
        <family val="2"/>
      </rPr>
      <t>Trailers</t>
    </r>
    <r>
      <rPr>
        <sz val="11"/>
        <rFont val="Arial"/>
        <family val="2"/>
      </rPr>
      <t xml:space="preserve"> or any other movable dwelling (the larger often referred to as a mobile home) with no permanent foundation are excluded from the surveys.</t>
    </r>
  </si>
  <si>
    <r>
      <rPr>
        <b/>
        <sz val="11"/>
        <color theme="1"/>
        <rFont val="Arial"/>
        <family val="2"/>
      </rPr>
      <t>Market housing</t>
    </r>
    <r>
      <rPr>
        <sz val="11"/>
        <rFont val="Arial"/>
        <family val="2"/>
      </rPr>
      <t xml:space="preserve"> is defined as housing that is marketed to the general public for sale or rent.</t>
    </r>
  </si>
  <si>
    <r>
      <t xml:space="preserve">A </t>
    </r>
    <r>
      <rPr>
        <b/>
        <sz val="11"/>
        <color theme="1"/>
        <rFont val="Arial"/>
        <family val="2"/>
      </rPr>
      <t>“dwelling unit</t>
    </r>
    <r>
      <rPr>
        <sz val="11"/>
        <rFont val="Arial"/>
        <family val="2"/>
      </rPr>
      <t>” is defined as a structurally separate set of living premises with a private entrance either outside the building or from a common hall, lobby, vestibule or stairway inside the building. 
The entrance must be one that can be used without passing through anyone else’s living quarters.</t>
    </r>
  </si>
  <si>
    <r>
      <t>A “</t>
    </r>
    <r>
      <rPr>
        <b/>
        <sz val="11"/>
        <color theme="1"/>
        <rFont val="Arial"/>
        <family val="2"/>
      </rPr>
      <t>single-detached</t>
    </r>
    <r>
      <rPr>
        <sz val="11"/>
        <rFont val="Arial"/>
        <family val="2"/>
      </rPr>
      <t xml:space="preserve">” dwelling is a building containing only one dwelling unit, which is completely separated on all sides from any other dwelling or structure. </t>
    </r>
  </si>
  <si>
    <r>
      <t>A “</t>
    </r>
    <r>
      <rPr>
        <b/>
        <sz val="11"/>
        <color theme="1"/>
        <rFont val="Arial"/>
        <family val="2"/>
      </rPr>
      <t>semi-detached</t>
    </r>
    <r>
      <rPr>
        <sz val="11"/>
        <rFont val="Arial"/>
        <family val="2"/>
      </rPr>
      <t xml:space="preserve">” dwelling is one of two dwellings located side-by-side in a building, adjoining no other structure and separated by a common or party wall extending from ground to roof. </t>
    </r>
  </si>
  <si>
    <r>
      <t>A “</t>
    </r>
    <r>
      <rPr>
        <b/>
        <sz val="11"/>
        <color theme="1"/>
        <rFont val="Arial"/>
        <family val="2"/>
      </rPr>
      <t>row</t>
    </r>
    <r>
      <rPr>
        <sz val="11"/>
        <rFont val="Arial"/>
        <family val="2"/>
      </rPr>
      <t xml:space="preserve">” dwelling is a ground-oriented dwelling attached to two or more similar units so that the resulting row structure contains three or more units. </t>
    </r>
  </si>
  <si>
    <r>
      <t>An “</t>
    </r>
    <r>
      <rPr>
        <b/>
        <sz val="11"/>
        <color theme="1"/>
        <rFont val="Arial"/>
        <family val="2"/>
      </rPr>
      <t>apartment and other</t>
    </r>
    <r>
      <rPr>
        <sz val="11"/>
        <rFont val="Arial"/>
        <family val="2"/>
      </rPr>
      <t xml:space="preserve">” dwelling includes all dwellings other than those described above, including structures commonly referred to as duplexes, triplexes, double duplexes and row duplexes. </t>
    </r>
  </si>
  <si>
    <t>Source: CMHC Starts and Completion Survey, Market Absorption Survey</t>
  </si>
  <si>
    <t>Source:  CMHC Starts and Completions Survey and Market Absorption Survey</t>
  </si>
  <si>
    <t>3rd Q</t>
  </si>
  <si>
    <t>Oct.</t>
  </si>
  <si>
    <t>Nov.</t>
  </si>
  <si>
    <t>December 2020 - 2021</t>
  </si>
  <si>
    <t>January - December 2020 - 2021</t>
  </si>
  <si>
    <t>4th Q</t>
  </si>
  <si>
    <t>Dec.</t>
  </si>
  <si>
    <t xml:space="preserve">*CMHC’s Starts and Completions Survey (SCS) for April was conducted in each province with the exception of Québec as residential construction activity was halted in the province during the period from March 25 to April 12, 2020. </t>
  </si>
  <si>
    <t xml:space="preserve">*In addition, in December 2020, SCS was not conducted in Kelowna CMA. </t>
  </si>
  <si>
    <t>*Due to the flood situation in British Columbia, CMHC was not able to administer SCS in Chilliwack CA for November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</si>
</sst>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numFmts>
  <fonts count="64">
    <font>
      <sz val="12"/>
      <name val="Arial"/>
    </font>
    <font>
      <sz val="12"/>
      <color indexed="8"/>
      <name val="Gill Sans Std"/>
      <family val="2"/>
    </font>
    <font>
      <b/>
      <sz val="12"/>
      <color indexed="8"/>
      <name val="Gill Sans Std"/>
      <family val="2"/>
    </font>
    <font>
      <sz val="10"/>
      <color indexed="8"/>
      <name val="Gill Sans Std"/>
      <family val="2"/>
    </font>
    <font>
      <sz val="9"/>
      <color indexed="8"/>
      <name val="Gill Sans Std"/>
      <family val="2"/>
    </font>
    <font>
      <b/>
      <sz val="9"/>
      <color indexed="8"/>
      <name val="Gill Sans Std"/>
      <family val="2"/>
    </font>
    <font>
      <sz val="7"/>
      <color indexed="8"/>
      <name val="Gill Sans Std"/>
      <family val="2"/>
    </font>
    <font>
      <sz val="12"/>
      <name val="Gill Sans Std"/>
      <family val="2"/>
    </font>
    <font>
      <i/>
      <sz val="7"/>
      <color indexed="8"/>
      <name val="Gill Sans Std"/>
      <family val="2"/>
    </font>
    <font>
      <b/>
      <i/>
      <sz val="9"/>
      <color indexed="8"/>
      <name val="Gill Sans Std"/>
      <family val="2"/>
    </font>
    <font>
      <i/>
      <sz val="9"/>
      <color indexed="8"/>
      <name val="Gill Sans Std"/>
      <family val="2"/>
    </font>
    <font>
      <sz val="8"/>
      <name val="Arial"/>
      <family val="2"/>
    </font>
    <font>
      <sz val="12"/>
      <color indexed="8"/>
      <name val="Arial"/>
      <family val="2"/>
    </font>
    <font>
      <sz val="9"/>
      <name val="Gill Sans Std"/>
      <family val="2"/>
    </font>
    <font>
      <sz val="9"/>
      <name val="Arial"/>
      <family val="2"/>
    </font>
    <font>
      <i/>
      <sz val="9"/>
      <name val="Arial"/>
      <family val="2"/>
    </font>
    <font>
      <b/>
      <sz val="11"/>
      <color indexed="9"/>
      <name val="Gill Sans Std"/>
      <family val="2"/>
    </font>
    <font>
      <sz val="11"/>
      <color indexed="9"/>
      <name val="Arial"/>
      <family val="2"/>
    </font>
    <font>
      <b/>
      <i/>
      <sz val="9"/>
      <name val="Gill Sans Std"/>
      <family val="2"/>
    </font>
    <font>
      <sz val="11"/>
      <name val="Gill Sans Std"/>
      <family val="2"/>
    </font>
    <font>
      <b/>
      <i/>
      <sz val="11"/>
      <color indexed="9"/>
      <name val="Gill Sans Std"/>
      <family val="2"/>
    </font>
    <font>
      <i/>
      <sz val="11"/>
      <color indexed="9"/>
      <name val="Arial"/>
      <family val="2"/>
    </font>
    <font>
      <sz val="7"/>
      <name val="Gill Sans Std"/>
      <family val="2"/>
    </font>
    <font>
      <b/>
      <vertAlign val="superscript"/>
      <sz val="9"/>
      <color indexed="8"/>
      <name val="Gill Sans Std"/>
      <family val="2"/>
    </font>
    <font>
      <b/>
      <sz val="9"/>
      <name val="Gill Sans Std"/>
      <family val="2"/>
    </font>
    <font>
      <vertAlign val="superscript"/>
      <sz val="7"/>
      <color indexed="8"/>
      <name val="Gill Sans Std"/>
      <family val="2"/>
    </font>
    <font>
      <i/>
      <vertAlign val="superscript"/>
      <sz val="7"/>
      <color indexed="8"/>
      <name val="Gill Sans Std"/>
      <family val="2"/>
    </font>
    <font>
      <sz val="11"/>
      <name val="Arial"/>
      <family val="2"/>
    </font>
    <font>
      <i/>
      <sz val="11"/>
      <name val="Arial"/>
      <family val="2"/>
    </font>
    <font>
      <sz val="6"/>
      <color indexed="8"/>
      <name val="Georgia"/>
      <family val="1"/>
    </font>
    <font>
      <b/>
      <vertAlign val="superscript"/>
      <sz val="8"/>
      <color indexed="8"/>
      <name val="Gill Sans Std"/>
      <family val="2"/>
    </font>
    <font>
      <sz val="12"/>
      <name val="Arial"/>
      <family val="2"/>
    </font>
    <font>
      <b/>
      <sz val="8"/>
      <color indexed="8"/>
      <name val="Gill Sans Std"/>
      <family val="2"/>
    </font>
    <font>
      <b/>
      <i/>
      <sz val="8"/>
      <color indexed="8"/>
      <name val="Gill Sans Std"/>
      <family val="2"/>
    </font>
    <font>
      <sz val="8"/>
      <color indexed="8"/>
      <name val="Gill Sans Std"/>
      <family val="2"/>
    </font>
    <font>
      <sz val="7"/>
      <color indexed="8"/>
      <name val="Gill Sans"/>
      <family val="2"/>
    </font>
    <font>
      <sz val="7"/>
      <name val="Gill Sans"/>
      <family val="2"/>
    </font>
    <font>
      <i/>
      <sz val="7"/>
      <color indexed="8"/>
      <name val="Gill Sans"/>
      <family val="2"/>
    </font>
    <font>
      <sz val="10"/>
      <name val="Arial"/>
      <family val="2"/>
    </font>
    <font>
      <sz val="10"/>
      <name val="Gill Sans Std"/>
      <family val="2"/>
    </font>
    <font>
      <b/>
      <sz val="7"/>
      <color indexed="8"/>
      <name val="Gill Sans Std"/>
      <family val="2"/>
    </font>
    <font>
      <b/>
      <i/>
      <sz val="7"/>
      <color indexed="8"/>
      <name val="Gill Sans Std"/>
      <family val="2"/>
    </font>
    <font>
      <vertAlign val="superscript"/>
      <sz val="12"/>
      <name val="Arial"/>
      <family val="2"/>
    </font>
    <font>
      <b/>
      <sz val="9"/>
      <color indexed="8"/>
      <name val="Gill Sans Std"/>
      <family val="2"/>
    </font>
    <font>
      <sz val="9"/>
      <color indexed="8"/>
      <name val="Gill Sans Std"/>
      <family val="2"/>
    </font>
    <font>
      <b/>
      <sz val="11"/>
      <name val="Gill Sans Std"/>
      <family val="2"/>
    </font>
    <font>
      <b/>
      <i/>
      <sz val="11"/>
      <name val="Gill Sans Std"/>
      <family val="2"/>
    </font>
    <font>
      <b/>
      <vertAlign val="superscript"/>
      <sz val="11"/>
      <name val="Gill Sans Std"/>
      <family val="2"/>
    </font>
    <font>
      <b/>
      <i/>
      <sz val="12"/>
      <name val="Arial"/>
      <family val="2"/>
    </font>
    <font>
      <i/>
      <sz val="12"/>
      <name val="Arial"/>
      <family val="2"/>
    </font>
    <font>
      <b/>
      <sz val="12"/>
      <name val="Gill Sans Std"/>
      <family val="2"/>
    </font>
    <font>
      <b/>
      <vertAlign val="superscript"/>
      <sz val="12"/>
      <name val="Gill Sans Std"/>
      <family val="2"/>
    </font>
    <font>
      <b/>
      <i/>
      <sz val="12"/>
      <name val="Gill Sans Std"/>
      <family val="2"/>
    </font>
    <font>
      <sz val="11"/>
      <color theme="0"/>
      <name val="Calibri"/>
      <family val="2"/>
      <scheme val="minor"/>
    </font>
    <font>
      <b/>
      <sz val="24"/>
      <color rgb="FF003F62"/>
      <name val="Calibri"/>
      <family val="2"/>
      <scheme val="minor"/>
    </font>
    <font>
      <sz val="10"/>
      <color theme="1"/>
      <name val="Calibri"/>
      <family val="2"/>
      <scheme val="minor"/>
    </font>
    <font>
      <b/>
      <sz val="10"/>
      <color theme="1"/>
      <name val="Calibri"/>
      <family val="2"/>
      <scheme val="minor"/>
    </font>
    <font>
      <sz val="9"/>
      <color theme="1"/>
      <name val="Calibri"/>
      <family val="2"/>
      <scheme val="minor"/>
    </font>
    <font>
      <u/>
      <sz val="11"/>
      <color theme="10"/>
      <name val="Calibri"/>
      <family val="2"/>
      <scheme val="minor"/>
    </font>
    <font>
      <u/>
      <sz val="9"/>
      <color theme="10"/>
      <name val="Calibri"/>
      <family val="2"/>
      <scheme val="minor"/>
    </font>
    <font>
      <sz val="11"/>
      <color theme="1"/>
      <name val="Arial Black"/>
      <family val="2"/>
    </font>
    <font>
      <b/>
      <sz val="11"/>
      <color rgb="FF1F497D"/>
      <name val="Calibri"/>
      <family val="2"/>
    </font>
    <font>
      <sz val="11"/>
      <color rgb="FF1F497D"/>
      <name val="Calibri"/>
      <family val="2"/>
    </font>
    <font>
      <b/>
      <sz val="11"/>
      <color theme="1"/>
      <name val="Arial"/>
      <family val="2"/>
    </font>
  </fonts>
  <fills count="9">
    <fill>
      <patternFill patternType="none"/>
    </fill>
    <fill>
      <patternFill patternType="gray125"/>
    </fill>
    <fill>
      <patternFill patternType="solid">
        <fgColor indexed="9"/>
        <bgColor indexed="64"/>
      </patternFill>
    </fill>
    <fill>
      <patternFill patternType="solid">
        <fgColor indexed="9"/>
        <bgColor indexed="10"/>
      </patternFill>
    </fill>
    <fill>
      <patternFill patternType="solid">
        <fgColor indexed="22"/>
        <bgColor indexed="64"/>
      </patternFill>
    </fill>
    <fill>
      <patternFill patternType="solid">
        <fgColor indexed="63"/>
        <bgColor indexed="64"/>
      </patternFill>
    </fill>
    <fill>
      <patternFill patternType="solid">
        <fgColor theme="0"/>
        <bgColor indexed="64"/>
      </patternFill>
    </fill>
    <fill>
      <patternFill patternType="solid">
        <fgColor rgb="FF003F62"/>
        <bgColor indexed="64"/>
      </patternFill>
    </fill>
    <fill>
      <patternFill patternType="solid">
        <fgColor rgb="FFB5C6C4"/>
        <bgColor indexed="64"/>
      </patternFill>
    </fill>
  </fills>
  <borders count="125">
    <border>
      <left/>
      <right/>
      <top/>
      <bottom/>
      <diagonal/>
    </border>
    <border>
      <left style="thin">
        <color indexed="62"/>
      </left>
      <right style="thin">
        <color indexed="62"/>
      </right>
      <top style="thin">
        <color indexed="62"/>
      </top>
      <bottom style="thin">
        <color indexed="62"/>
      </bottom>
      <diagonal/>
    </border>
    <border>
      <left/>
      <right style="thin">
        <color indexed="62"/>
      </right>
      <top style="thin">
        <color indexed="62"/>
      </top>
      <bottom style="thin">
        <color indexed="62"/>
      </bottom>
      <diagonal/>
    </border>
    <border>
      <left/>
      <right style="medium">
        <color indexed="62"/>
      </right>
      <top style="thin">
        <color indexed="62"/>
      </top>
      <bottom style="thin">
        <color indexed="62"/>
      </bottom>
      <diagonal/>
    </border>
    <border>
      <left style="medium">
        <color indexed="62"/>
      </left>
      <right/>
      <top style="thin">
        <color indexed="62"/>
      </top>
      <bottom style="medium">
        <color indexed="62"/>
      </bottom>
      <diagonal/>
    </border>
    <border>
      <left style="medium">
        <color indexed="62"/>
      </left>
      <right/>
      <top style="thin">
        <color indexed="62"/>
      </top>
      <bottom style="thin">
        <color indexed="18"/>
      </bottom>
      <diagonal/>
    </border>
    <border>
      <left/>
      <right style="thin">
        <color indexed="62"/>
      </right>
      <top style="thin">
        <color indexed="62"/>
      </top>
      <bottom style="thin">
        <color indexed="18"/>
      </bottom>
      <diagonal/>
    </border>
    <border>
      <left style="thin">
        <color indexed="62"/>
      </left>
      <right style="thin">
        <color indexed="62"/>
      </right>
      <top style="thin">
        <color indexed="62"/>
      </top>
      <bottom style="thin">
        <color indexed="18"/>
      </bottom>
      <diagonal/>
    </border>
    <border>
      <left/>
      <right style="medium">
        <color indexed="62"/>
      </right>
      <top style="thin">
        <color indexed="62"/>
      </top>
      <bottom style="thin">
        <color indexed="18"/>
      </bottom>
      <diagonal/>
    </border>
    <border>
      <left style="medium">
        <color indexed="62"/>
      </left>
      <right/>
      <top style="thin">
        <color indexed="18"/>
      </top>
      <bottom style="thin">
        <color indexed="18"/>
      </bottom>
      <diagonal/>
    </border>
    <border>
      <left/>
      <right style="thin">
        <color indexed="62"/>
      </right>
      <top style="thin">
        <color indexed="18"/>
      </top>
      <bottom style="thin">
        <color indexed="18"/>
      </bottom>
      <diagonal/>
    </border>
    <border>
      <left style="thin">
        <color indexed="62"/>
      </left>
      <right style="thin">
        <color indexed="62"/>
      </right>
      <top style="thin">
        <color indexed="18"/>
      </top>
      <bottom style="thin">
        <color indexed="18"/>
      </bottom>
      <diagonal/>
    </border>
    <border>
      <left/>
      <right style="medium">
        <color indexed="62"/>
      </right>
      <top style="thin">
        <color indexed="18"/>
      </top>
      <bottom style="thin">
        <color indexed="18"/>
      </bottom>
      <diagonal/>
    </border>
    <border>
      <left style="medium">
        <color indexed="62"/>
      </left>
      <right/>
      <top/>
      <bottom/>
      <diagonal/>
    </border>
    <border>
      <left/>
      <right style="thin">
        <color indexed="62"/>
      </right>
      <top/>
      <bottom/>
      <diagonal/>
    </border>
    <border>
      <left style="thin">
        <color indexed="62"/>
      </left>
      <right style="thin">
        <color indexed="62"/>
      </right>
      <top/>
      <bottom/>
      <diagonal/>
    </border>
    <border>
      <left/>
      <right style="medium">
        <color indexed="62"/>
      </right>
      <top/>
      <bottom/>
      <diagonal/>
    </border>
    <border>
      <left style="medium">
        <color indexed="62"/>
      </left>
      <right/>
      <top style="thin">
        <color indexed="62"/>
      </top>
      <bottom style="thin">
        <color indexed="62"/>
      </bottom>
      <diagonal/>
    </border>
    <border>
      <left/>
      <right style="thin">
        <color indexed="62"/>
      </right>
      <top style="thin">
        <color indexed="62"/>
      </top>
      <bottom style="medium">
        <color indexed="62"/>
      </bottom>
      <diagonal/>
    </border>
    <border>
      <left style="thin">
        <color indexed="62"/>
      </left>
      <right style="thin">
        <color indexed="62"/>
      </right>
      <top style="thin">
        <color indexed="62"/>
      </top>
      <bottom style="medium">
        <color indexed="62"/>
      </bottom>
      <diagonal/>
    </border>
    <border>
      <left/>
      <right style="medium">
        <color indexed="62"/>
      </right>
      <top style="thin">
        <color indexed="62"/>
      </top>
      <bottom style="medium">
        <color indexed="62"/>
      </bottom>
      <diagonal/>
    </border>
    <border>
      <left style="medium">
        <color indexed="62"/>
      </left>
      <right/>
      <top/>
      <bottom style="thin">
        <color indexed="62"/>
      </bottom>
      <diagonal/>
    </border>
    <border>
      <left/>
      <right style="thin">
        <color indexed="62"/>
      </right>
      <top style="medium">
        <color indexed="62"/>
      </top>
      <bottom/>
      <diagonal/>
    </border>
    <border>
      <left/>
      <right style="thin">
        <color indexed="62"/>
      </right>
      <top/>
      <bottom style="thin">
        <color indexed="62"/>
      </bottom>
      <diagonal/>
    </border>
    <border>
      <left/>
      <right/>
      <top style="thin">
        <color indexed="62"/>
      </top>
      <bottom/>
      <diagonal/>
    </border>
    <border>
      <left/>
      <right/>
      <top/>
      <bottom style="thin">
        <color indexed="62"/>
      </bottom>
      <diagonal/>
    </border>
    <border>
      <left/>
      <right style="medium">
        <color indexed="62"/>
      </right>
      <top/>
      <bottom style="thin">
        <color indexed="62"/>
      </bottom>
      <diagonal/>
    </border>
    <border>
      <left style="medium">
        <color indexed="62"/>
      </left>
      <right/>
      <top style="medium">
        <color indexed="62"/>
      </top>
      <bottom/>
      <diagonal/>
    </border>
    <border>
      <left/>
      <right/>
      <top style="medium">
        <color indexed="62"/>
      </top>
      <bottom/>
      <diagonal/>
    </border>
    <border>
      <left style="medium">
        <color indexed="62"/>
      </left>
      <right/>
      <top/>
      <bottom style="medium">
        <color indexed="62"/>
      </bottom>
      <diagonal/>
    </border>
    <border>
      <left/>
      <right/>
      <top/>
      <bottom style="medium">
        <color indexed="62"/>
      </bottom>
      <diagonal/>
    </border>
    <border>
      <left style="thin">
        <color indexed="62"/>
      </left>
      <right style="thin">
        <color indexed="62"/>
      </right>
      <top style="thin">
        <color indexed="62"/>
      </top>
      <bottom/>
      <diagonal/>
    </border>
    <border>
      <left style="thin">
        <color indexed="62"/>
      </left>
      <right style="thin">
        <color indexed="62"/>
      </right>
      <top/>
      <bottom style="medium">
        <color indexed="62"/>
      </bottom>
      <diagonal/>
    </border>
    <border>
      <left/>
      <right style="medium">
        <color indexed="62"/>
      </right>
      <top style="medium">
        <color indexed="62"/>
      </top>
      <bottom/>
      <diagonal/>
    </border>
    <border>
      <left/>
      <right style="medium">
        <color indexed="62"/>
      </right>
      <top style="thin">
        <color indexed="62"/>
      </top>
      <bottom/>
      <diagonal/>
    </border>
    <border>
      <left style="thin">
        <color indexed="62"/>
      </left>
      <right style="thin">
        <color indexed="62"/>
      </right>
      <top style="medium">
        <color indexed="62"/>
      </top>
      <bottom/>
      <diagonal/>
    </border>
    <border>
      <left/>
      <right/>
      <top style="thin">
        <color indexed="62"/>
      </top>
      <bottom style="thin">
        <color indexed="18"/>
      </bottom>
      <diagonal/>
    </border>
    <border>
      <left/>
      <right/>
      <top style="thin">
        <color indexed="18"/>
      </top>
      <bottom style="thin">
        <color indexed="18"/>
      </bottom>
      <diagonal/>
    </border>
    <border>
      <left style="medium">
        <color indexed="62"/>
      </left>
      <right style="thin">
        <color indexed="62"/>
      </right>
      <top style="thin">
        <color indexed="62"/>
      </top>
      <bottom/>
      <diagonal/>
    </border>
    <border>
      <left/>
      <right style="thin">
        <color indexed="62"/>
      </right>
      <top style="thin">
        <color indexed="62"/>
      </top>
      <bottom/>
      <diagonal/>
    </border>
    <border>
      <left style="medium">
        <color indexed="62"/>
      </left>
      <right style="thin">
        <color indexed="62"/>
      </right>
      <top/>
      <bottom/>
      <diagonal/>
    </border>
    <border>
      <left style="medium">
        <color indexed="62"/>
      </left>
      <right style="thin">
        <color indexed="62"/>
      </right>
      <top/>
      <bottom style="thin">
        <color indexed="62"/>
      </bottom>
      <diagonal/>
    </border>
    <border>
      <left/>
      <right style="medium">
        <color indexed="62"/>
      </right>
      <top/>
      <bottom style="thin">
        <color indexed="18"/>
      </bottom>
      <diagonal/>
    </border>
    <border>
      <left style="medium">
        <color indexed="62"/>
      </left>
      <right/>
      <top/>
      <bottom style="thin">
        <color indexed="18"/>
      </bottom>
      <diagonal/>
    </border>
    <border>
      <left/>
      <right/>
      <top/>
      <bottom style="thin">
        <color indexed="18"/>
      </bottom>
      <diagonal/>
    </border>
    <border>
      <left/>
      <right style="thin">
        <color indexed="62"/>
      </right>
      <top/>
      <bottom style="thin">
        <color indexed="18"/>
      </bottom>
      <diagonal/>
    </border>
    <border>
      <left style="thin">
        <color indexed="62"/>
      </left>
      <right style="thin">
        <color indexed="62"/>
      </right>
      <top/>
      <bottom style="thin">
        <color indexed="18"/>
      </bottom>
      <diagonal/>
    </border>
    <border>
      <left style="medium">
        <color indexed="62"/>
      </left>
      <right/>
      <top style="thin">
        <color indexed="18"/>
      </top>
      <bottom/>
      <diagonal/>
    </border>
    <border>
      <left/>
      <right/>
      <top style="thin">
        <color indexed="18"/>
      </top>
      <bottom/>
      <diagonal/>
    </border>
    <border>
      <left/>
      <right style="thin">
        <color indexed="62"/>
      </right>
      <top style="thin">
        <color indexed="18"/>
      </top>
      <bottom/>
      <diagonal/>
    </border>
    <border>
      <left style="thin">
        <color indexed="62"/>
      </left>
      <right style="thin">
        <color indexed="62"/>
      </right>
      <top style="thin">
        <color indexed="18"/>
      </top>
      <bottom/>
      <diagonal/>
    </border>
    <border>
      <left style="thin">
        <color indexed="62"/>
      </left>
      <right style="thin">
        <color indexed="62"/>
      </right>
      <top style="thin">
        <color indexed="18"/>
      </top>
      <bottom style="thin">
        <color indexed="62"/>
      </bottom>
      <diagonal/>
    </border>
    <border>
      <left style="thin">
        <color indexed="62"/>
      </left>
      <right style="thin">
        <color indexed="62"/>
      </right>
      <top/>
      <bottom style="thin">
        <color indexed="62"/>
      </bottom>
      <diagonal/>
    </border>
    <border>
      <left style="thin">
        <color indexed="62"/>
      </left>
      <right/>
      <top style="thin">
        <color indexed="62"/>
      </top>
      <bottom/>
      <diagonal/>
    </border>
    <border>
      <left style="thin">
        <color indexed="62"/>
      </left>
      <right style="medium">
        <color indexed="62"/>
      </right>
      <top/>
      <bottom style="thin">
        <color indexed="62"/>
      </bottom>
      <diagonal/>
    </border>
    <border>
      <left style="thin">
        <color indexed="62"/>
      </left>
      <right/>
      <top/>
      <bottom style="thin">
        <color indexed="62"/>
      </bottom>
      <diagonal/>
    </border>
    <border>
      <left/>
      <right style="thin">
        <color indexed="62"/>
      </right>
      <top/>
      <bottom style="medium">
        <color indexed="62"/>
      </bottom>
      <diagonal/>
    </border>
    <border>
      <left style="medium">
        <color indexed="62"/>
      </left>
      <right style="thin">
        <color indexed="62"/>
      </right>
      <top/>
      <bottom style="thin">
        <color indexed="18"/>
      </bottom>
      <diagonal/>
    </border>
    <border>
      <left style="medium">
        <color indexed="62"/>
      </left>
      <right style="thin">
        <color indexed="62"/>
      </right>
      <top style="thin">
        <color indexed="18"/>
      </top>
      <bottom style="thin">
        <color indexed="18"/>
      </bottom>
      <diagonal/>
    </border>
    <border>
      <left style="thin">
        <color indexed="62"/>
      </left>
      <right style="thin">
        <color indexed="62"/>
      </right>
      <top style="thin">
        <color indexed="18"/>
      </top>
      <bottom style="medium">
        <color indexed="62"/>
      </bottom>
      <diagonal/>
    </border>
    <border>
      <left style="thin">
        <color indexed="62"/>
      </left>
      <right style="medium">
        <color indexed="62"/>
      </right>
      <top style="thin">
        <color indexed="18"/>
      </top>
      <bottom style="thin">
        <color indexed="18"/>
      </bottom>
      <diagonal/>
    </border>
    <border>
      <left style="thin">
        <color indexed="62"/>
      </left>
      <right style="medium">
        <color indexed="62"/>
      </right>
      <top style="thin">
        <color indexed="18"/>
      </top>
      <bottom style="medium">
        <color indexed="62"/>
      </bottom>
      <diagonal/>
    </border>
    <border>
      <left style="thin">
        <color indexed="62"/>
      </left>
      <right style="medium">
        <color indexed="62"/>
      </right>
      <top/>
      <bottom style="thin">
        <color indexed="18"/>
      </bottom>
      <diagonal/>
    </border>
    <border>
      <left style="thin">
        <color indexed="62"/>
      </left>
      <right style="medium">
        <color indexed="62"/>
      </right>
      <top style="thin">
        <color indexed="62"/>
      </top>
      <bottom/>
      <diagonal/>
    </border>
    <border>
      <left style="thin">
        <color indexed="62"/>
      </left>
      <right style="medium">
        <color indexed="62"/>
      </right>
      <top style="thin">
        <color indexed="62"/>
      </top>
      <bottom style="thin">
        <color indexed="18"/>
      </bottom>
      <diagonal/>
    </border>
    <border>
      <left style="thin">
        <color indexed="62"/>
      </left>
      <right style="medium">
        <color indexed="62"/>
      </right>
      <top/>
      <bottom style="medium">
        <color indexed="62"/>
      </bottom>
      <diagonal/>
    </border>
    <border>
      <left style="thin">
        <color indexed="62"/>
      </left>
      <right style="medium">
        <color indexed="62"/>
      </right>
      <top style="thin">
        <color indexed="18"/>
      </top>
      <bottom style="thin">
        <color indexed="62"/>
      </bottom>
      <diagonal/>
    </border>
    <border>
      <left style="thin">
        <color indexed="62"/>
      </left>
      <right style="medium">
        <color indexed="62"/>
      </right>
      <top/>
      <bottom/>
      <diagonal/>
    </border>
    <border>
      <left/>
      <right style="medium">
        <color indexed="62"/>
      </right>
      <top style="thin">
        <color indexed="18"/>
      </top>
      <bottom style="medium">
        <color indexed="62"/>
      </bottom>
      <diagonal/>
    </border>
    <border>
      <left style="medium">
        <color indexed="62"/>
      </left>
      <right/>
      <top style="thin">
        <color indexed="18"/>
      </top>
      <bottom style="medium">
        <color indexed="62"/>
      </bottom>
      <diagonal/>
    </border>
    <border>
      <left/>
      <right/>
      <top style="thin">
        <color indexed="18"/>
      </top>
      <bottom style="medium">
        <color indexed="62"/>
      </bottom>
      <diagonal/>
    </border>
    <border>
      <left/>
      <right style="thin">
        <color indexed="62"/>
      </right>
      <top style="thin">
        <color indexed="18"/>
      </top>
      <bottom style="medium">
        <color indexed="62"/>
      </bottom>
      <diagonal/>
    </border>
    <border>
      <left style="thin">
        <color indexed="62"/>
      </left>
      <right/>
      <top/>
      <bottom/>
      <diagonal/>
    </border>
    <border>
      <left/>
      <right style="medium">
        <color indexed="62"/>
      </right>
      <top style="thin">
        <color indexed="18"/>
      </top>
      <bottom/>
      <diagonal/>
    </border>
    <border>
      <left style="thin">
        <color indexed="62"/>
      </left>
      <right style="thin">
        <color indexed="62"/>
      </right>
      <top style="medium">
        <color indexed="62"/>
      </top>
      <bottom style="thin">
        <color indexed="62"/>
      </bottom>
      <diagonal/>
    </border>
    <border>
      <left style="medium">
        <color indexed="62"/>
      </left>
      <right/>
      <top style="thin">
        <color indexed="18"/>
      </top>
      <bottom style="thin">
        <color indexed="62"/>
      </bottom>
      <diagonal/>
    </border>
    <border>
      <left/>
      <right/>
      <top style="thin">
        <color indexed="18"/>
      </top>
      <bottom style="thin">
        <color indexed="62"/>
      </bottom>
      <diagonal/>
    </border>
    <border>
      <left/>
      <right style="thin">
        <color indexed="62"/>
      </right>
      <top style="thin">
        <color indexed="18"/>
      </top>
      <bottom style="thin">
        <color indexed="62"/>
      </bottom>
      <diagonal/>
    </border>
    <border>
      <left style="thin">
        <color indexed="62"/>
      </left>
      <right/>
      <top/>
      <bottom style="thin">
        <color indexed="18"/>
      </bottom>
      <diagonal/>
    </border>
    <border>
      <left/>
      <right style="medium">
        <color indexed="62"/>
      </right>
      <top/>
      <bottom style="medium">
        <color indexed="62"/>
      </bottom>
      <diagonal/>
    </border>
    <border>
      <left style="thin">
        <color indexed="62"/>
      </left>
      <right/>
      <top style="medium">
        <color indexed="62"/>
      </top>
      <bottom/>
      <diagonal/>
    </border>
    <border>
      <left style="thin">
        <color indexed="62"/>
      </left>
      <right style="medium">
        <color indexed="62"/>
      </right>
      <top style="thin">
        <color indexed="18"/>
      </top>
      <bottom/>
      <diagonal/>
    </border>
    <border>
      <left style="thin">
        <color indexed="62"/>
      </left>
      <right style="thin">
        <color indexed="62"/>
      </right>
      <top style="thin">
        <color theme="2"/>
      </top>
      <bottom style="thin">
        <color indexed="62"/>
      </bottom>
      <diagonal/>
    </border>
    <border>
      <left style="thin">
        <color indexed="62"/>
      </left>
      <right style="medium">
        <color indexed="62"/>
      </right>
      <top style="thin">
        <color theme="2"/>
      </top>
      <bottom style="thin">
        <color indexed="62"/>
      </bottom>
      <diagonal/>
    </border>
    <border>
      <left style="thin">
        <color theme="0" tint="-0.499984740745262"/>
      </left>
      <right/>
      <top style="thin">
        <color theme="0" tint="-0.499984740745262"/>
      </top>
      <bottom/>
      <diagonal/>
    </border>
    <border>
      <left/>
      <right/>
      <top style="thin">
        <color theme="0" tint="-0.499984740745262"/>
      </top>
      <bottom/>
      <diagonal/>
    </border>
    <border>
      <left style="thin">
        <color indexed="64"/>
      </left>
      <right/>
      <top/>
      <bottom/>
      <diagonal/>
    </border>
    <border>
      <left style="thin">
        <color theme="0" tint="-0.499984740745262"/>
      </left>
      <right/>
      <top/>
      <bottom/>
      <diagonal/>
    </border>
    <border>
      <left/>
      <right style="thin">
        <color indexed="64"/>
      </right>
      <top/>
      <bottom style="thin">
        <color indexed="64"/>
      </bottom>
      <diagonal/>
    </border>
    <border>
      <left/>
      <right/>
      <top/>
      <bottom style="thin">
        <color indexed="64"/>
      </bottom>
      <diagonal/>
    </border>
    <border>
      <left style="thin">
        <color indexed="62"/>
      </left>
      <right/>
      <top style="thin">
        <color indexed="18"/>
      </top>
      <bottom style="thin">
        <color indexed="62"/>
      </bottom>
      <diagonal/>
    </border>
    <border>
      <left style="thin">
        <color indexed="62"/>
      </left>
      <right/>
      <top style="thin">
        <color indexed="18"/>
      </top>
      <bottom style="medium">
        <color indexed="62"/>
      </bottom>
      <diagonal/>
    </border>
    <border>
      <left style="thin">
        <color indexed="62"/>
      </left>
      <right style="medium">
        <color indexed="62"/>
      </right>
      <top style="medium">
        <color indexed="62"/>
      </top>
      <bottom/>
      <diagonal/>
    </border>
    <border>
      <left style="thin">
        <color indexed="62"/>
      </left>
      <right style="thin">
        <color indexed="62"/>
      </right>
      <top style="thin">
        <color indexed="18"/>
      </top>
      <bottom style="thin">
        <color rgb="FFB4A76C"/>
      </bottom>
      <diagonal/>
    </border>
    <border>
      <left style="thin">
        <color indexed="62"/>
      </left>
      <right style="medium">
        <color indexed="62"/>
      </right>
      <top style="thin">
        <color indexed="18"/>
      </top>
      <bottom style="thin">
        <color rgb="FFB4A76C"/>
      </bottom>
      <diagonal/>
    </border>
    <border>
      <left style="medium">
        <color indexed="62"/>
      </left>
      <right/>
      <top style="thin">
        <color indexed="18"/>
      </top>
      <bottom style="thin">
        <color rgb="FFB4A76C"/>
      </bottom>
      <diagonal/>
    </border>
    <border>
      <left/>
      <right/>
      <top style="thin">
        <color indexed="18"/>
      </top>
      <bottom style="thin">
        <color rgb="FFB4A76C"/>
      </bottom>
      <diagonal/>
    </border>
    <border>
      <left/>
      <right style="thin">
        <color indexed="62"/>
      </right>
      <top style="thin">
        <color indexed="18"/>
      </top>
      <bottom style="thin">
        <color rgb="FFB4A76C"/>
      </bottom>
      <diagonal/>
    </border>
    <border>
      <left/>
      <right style="medium">
        <color indexed="62"/>
      </right>
      <top style="thin">
        <color indexed="18"/>
      </top>
      <bottom style="thin">
        <color rgb="FFB4A76C"/>
      </bottom>
      <diagonal/>
    </border>
    <border>
      <left style="medium">
        <color indexed="62"/>
      </left>
      <right/>
      <top/>
      <bottom style="thin">
        <color rgb="FFB4A76C"/>
      </bottom>
      <diagonal/>
    </border>
    <border>
      <left/>
      <right/>
      <top/>
      <bottom style="thin">
        <color rgb="FFB4A76C"/>
      </bottom>
      <diagonal/>
    </border>
    <border>
      <left/>
      <right style="thin">
        <color indexed="62"/>
      </right>
      <top/>
      <bottom style="thin">
        <color rgb="FFB4A76C"/>
      </bottom>
      <diagonal/>
    </border>
    <border>
      <left style="thin">
        <color indexed="62"/>
      </left>
      <right style="thin">
        <color indexed="62"/>
      </right>
      <top/>
      <bottom style="thin">
        <color rgb="FFB4A76C"/>
      </bottom>
      <diagonal/>
    </border>
    <border>
      <left/>
      <right style="medium">
        <color indexed="62"/>
      </right>
      <top/>
      <bottom style="thin">
        <color rgb="FFB4A76C"/>
      </bottom>
      <diagonal/>
    </border>
    <border>
      <left style="thin">
        <color indexed="62"/>
      </left>
      <right style="medium">
        <color indexed="62"/>
      </right>
      <top style="thin">
        <color indexed="62"/>
      </top>
      <bottom style="thin">
        <color rgb="FFE7E2CF"/>
      </bottom>
      <diagonal/>
    </border>
    <border>
      <left style="thin">
        <color rgb="FFB4A76C"/>
      </left>
      <right/>
      <top style="thin">
        <color rgb="FFB4A76C"/>
      </top>
      <bottom style="thin">
        <color rgb="FFE7E2CF"/>
      </bottom>
      <diagonal/>
    </border>
    <border>
      <left/>
      <right/>
      <top style="thin">
        <color rgb="FFB4A76C"/>
      </top>
      <bottom style="thin">
        <color rgb="FFE7E2CF"/>
      </bottom>
      <diagonal/>
    </border>
    <border>
      <left/>
      <right style="thin">
        <color indexed="62"/>
      </right>
      <top style="thin">
        <color rgb="FFB4A76C"/>
      </top>
      <bottom style="thin">
        <color rgb="FFE7E2CF"/>
      </bottom>
      <diagonal/>
    </border>
    <border>
      <left style="thin">
        <color indexed="62"/>
      </left>
      <right style="thin">
        <color indexed="62"/>
      </right>
      <top style="thin">
        <color rgb="FFB4A76C"/>
      </top>
      <bottom style="thin">
        <color rgb="FFE7E2CF"/>
      </bottom>
      <diagonal/>
    </border>
    <border>
      <left style="thin">
        <color indexed="62"/>
      </left>
      <right style="medium">
        <color rgb="FFB4A76C"/>
      </right>
      <top style="medium">
        <color indexed="62"/>
      </top>
      <bottom/>
      <diagonal/>
    </border>
    <border>
      <left style="thin">
        <color indexed="62"/>
      </left>
      <right style="medium">
        <color rgb="FFB4A76C"/>
      </right>
      <top/>
      <bottom style="thin">
        <color indexed="62"/>
      </bottom>
      <diagonal/>
    </border>
    <border>
      <left style="thin">
        <color indexed="62"/>
      </left>
      <right style="medium">
        <color rgb="FFB4A76C"/>
      </right>
      <top style="thin">
        <color indexed="62"/>
      </top>
      <bottom style="thin">
        <color indexed="18"/>
      </bottom>
      <diagonal/>
    </border>
    <border>
      <left style="thin">
        <color indexed="62"/>
      </left>
      <right style="medium">
        <color rgb="FFB4A76C"/>
      </right>
      <top/>
      <bottom style="thin">
        <color indexed="18"/>
      </bottom>
      <diagonal/>
    </border>
    <border>
      <left style="thin">
        <color indexed="62"/>
      </left>
      <right style="medium">
        <color rgb="FFB4A76C"/>
      </right>
      <top style="thin">
        <color indexed="18"/>
      </top>
      <bottom style="thin">
        <color indexed="62"/>
      </bottom>
      <diagonal/>
    </border>
    <border>
      <left style="thin">
        <color indexed="62"/>
      </left>
      <right style="medium">
        <color rgb="FFB4A76C"/>
      </right>
      <top style="thin">
        <color rgb="FFB4A76C"/>
      </top>
      <bottom style="thin">
        <color rgb="FFE7E2CF"/>
      </bottom>
      <diagonal/>
    </border>
    <border>
      <left style="thin">
        <color indexed="62"/>
      </left>
      <right style="medium">
        <color rgb="FFB4A76C"/>
      </right>
      <top style="thin">
        <color indexed="18"/>
      </top>
      <bottom style="thin">
        <color indexed="18"/>
      </bottom>
      <diagonal/>
    </border>
    <border>
      <left style="medium">
        <color rgb="FFB4A76C"/>
      </left>
      <right/>
      <top/>
      <bottom/>
      <diagonal/>
    </border>
    <border>
      <left style="thin">
        <color indexed="62"/>
      </left>
      <right/>
      <top style="thin">
        <color indexed="18"/>
      </top>
      <bottom style="thin">
        <color indexed="18"/>
      </bottom>
      <diagonal/>
    </border>
    <border>
      <left style="thin">
        <color indexed="62"/>
      </left>
      <right style="medium">
        <color rgb="FFB4A76C"/>
      </right>
      <top style="medium">
        <color indexed="62"/>
      </top>
      <bottom style="thin">
        <color indexed="62"/>
      </bottom>
      <diagonal/>
    </border>
    <border>
      <left style="thin">
        <color indexed="62"/>
      </left>
      <right style="medium">
        <color rgb="FFB4A76C"/>
      </right>
      <top style="thin">
        <color indexed="18"/>
      </top>
      <bottom style="medium">
        <color indexed="62"/>
      </bottom>
      <diagonal/>
    </border>
    <border>
      <left/>
      <right style="thin">
        <color rgb="FFB4A76C"/>
      </right>
      <top style="thin">
        <color indexed="18"/>
      </top>
      <bottom style="thin">
        <color indexed="62"/>
      </bottom>
      <diagonal/>
    </border>
    <border>
      <left style="medium">
        <color indexed="62"/>
      </left>
      <right style="thin">
        <color rgb="FFB4A76C"/>
      </right>
      <top style="thin">
        <color indexed="18"/>
      </top>
      <bottom style="thin">
        <color indexed="62"/>
      </bottom>
      <diagonal/>
    </border>
    <border>
      <left style="thin">
        <color rgb="FFB4A76C"/>
      </left>
      <right style="thin">
        <color rgb="FFB4A76C"/>
      </right>
      <top style="thin">
        <color indexed="18"/>
      </top>
      <bottom style="thin">
        <color indexed="62"/>
      </bottom>
      <diagonal/>
    </border>
    <border>
      <left style="thin">
        <color rgb="FFB4A76C"/>
      </left>
      <right style="thin">
        <color rgb="FFB4A76C"/>
      </right>
      <top style="thin">
        <color indexed="18"/>
      </top>
      <bottom style="thin">
        <color rgb="FFB4A76C"/>
      </bottom>
      <diagonal/>
    </border>
    <border>
      <left/>
      <right style="medium">
        <color rgb="FFB4A76C"/>
      </right>
      <top style="thin">
        <color indexed="18"/>
      </top>
      <bottom style="thin">
        <color indexed="62"/>
      </bottom>
      <diagonal/>
    </border>
  </borders>
  <cellStyleXfs count="3">
    <xf numFmtId="0" fontId="0" fillId="0" borderId="0"/>
    <xf numFmtId="0" fontId="31" fillId="0" borderId="0"/>
    <xf numFmtId="0" fontId="58" fillId="0" borderId="0"/>
  </cellStyleXfs>
  <cellXfs count="718">
    <xf numFmtId="0" fontId="0" fillId="0" borderId="0" xfId="0"/>
    <xf numFmtId="3" fontId="1" fillId="2" borderId="0" xfId="0" applyNumberFormat="1" applyFont="1" applyFill="1" applyAlignment="1" applyProtection="1">
      <alignment horizontal="center"/>
      <protection locked="0"/>
    </xf>
    <xf numFmtId="3" fontId="1" fillId="2" borderId="0" xfId="0" applyNumberFormat="1" applyFont="1" applyFill="1" applyAlignment="1" applyProtection="1">
      <protection locked="0"/>
    </xf>
    <xf numFmtId="0" fontId="3" fillId="2" borderId="0" xfId="0" applyNumberFormat="1" applyFont="1" applyFill="1" applyAlignment="1" applyProtection="1">
      <protection locked="0"/>
    </xf>
    <xf numFmtId="3" fontId="3" fillId="2" borderId="0" xfId="0" applyNumberFormat="1" applyFont="1" applyFill="1" applyAlignment="1" applyProtection="1">
      <protection locked="0"/>
    </xf>
    <xf numFmtId="164" fontId="1" fillId="2" borderId="0" xfId="0" applyNumberFormat="1" applyFont="1" applyFill="1" applyAlignment="1" applyProtection="1">
      <protection hidden="1"/>
    </xf>
    <xf numFmtId="164" fontId="1" fillId="2" borderId="0" xfId="0" applyNumberFormat="1" applyFont="1" applyFill="1" applyAlignment="1" applyProtection="1">
      <alignment horizontal="right"/>
      <protection hidden="1"/>
    </xf>
    <xf numFmtId="0" fontId="1" fillId="2" borderId="0" xfId="0" applyNumberFormat="1" applyFont="1" applyFill="1" applyAlignment="1"/>
    <xf numFmtId="3" fontId="1" fillId="2" borderId="0" xfId="0" applyNumberFormat="1" applyFont="1" applyFill="1" applyBorder="1" applyAlignment="1" applyProtection="1">
      <protection locked="0"/>
    </xf>
    <xf numFmtId="0" fontId="1" fillId="2" borderId="0" xfId="0" applyNumberFormat="1" applyFont="1" applyFill="1" applyBorder="1" applyProtection="1">
      <protection locked="0"/>
    </xf>
    <xf numFmtId="0" fontId="7" fillId="0" borderId="0" xfId="0" applyFont="1"/>
    <xf numFmtId="0" fontId="7" fillId="0" borderId="0" xfId="0" applyFont="1" applyBorder="1"/>
    <xf numFmtId="0" fontId="13" fillId="0" borderId="0" xfId="0" applyFont="1"/>
    <xf numFmtId="3" fontId="4" fillId="0" borderId="0" xfId="0" applyNumberFormat="1" applyFont="1" applyAlignment="1"/>
    <xf numFmtId="1" fontId="4" fillId="2" borderId="1" xfId="0" applyNumberFormat="1" applyFont="1" applyFill="1" applyBorder="1" applyAlignment="1" applyProtection="1">
      <alignment horizontal="right" vertical="center"/>
      <protection locked="0"/>
    </xf>
    <xf numFmtId="3" fontId="5" fillId="2" borderId="2" xfId="0" applyNumberFormat="1" applyFont="1" applyFill="1" applyBorder="1" applyAlignment="1" applyProtection="1">
      <alignment horizontal="right" vertical="center"/>
      <protection locked="0"/>
    </xf>
    <xf numFmtId="3" fontId="5" fillId="2" borderId="3" xfId="0" applyNumberFormat="1" applyFont="1" applyFill="1" applyBorder="1" applyAlignment="1" applyProtection="1">
      <alignment horizontal="right" vertical="center"/>
      <protection locked="0"/>
    </xf>
    <xf numFmtId="3" fontId="5" fillId="2" borderId="4" xfId="0" applyNumberFormat="1" applyFont="1" applyFill="1" applyBorder="1" applyAlignment="1" applyProtection="1">
      <alignment vertical="center"/>
      <protection locked="0"/>
    </xf>
    <xf numFmtId="3" fontId="4" fillId="2" borderId="5" xfId="0" applyNumberFormat="1" applyFont="1" applyFill="1" applyBorder="1" applyAlignment="1" applyProtection="1">
      <alignment vertical="center"/>
      <protection locked="0"/>
    </xf>
    <xf numFmtId="3" fontId="10" fillId="2" borderId="6" xfId="0" applyNumberFormat="1" applyFont="1" applyFill="1" applyBorder="1" applyAlignment="1" applyProtection="1">
      <alignment vertical="center"/>
      <protection locked="0"/>
    </xf>
    <xf numFmtId="3" fontId="4" fillId="2" borderId="7" xfId="0" applyNumberFormat="1" applyFont="1" applyFill="1" applyBorder="1" applyAlignment="1" applyProtection="1">
      <alignment vertical="center"/>
      <protection locked="0"/>
    </xf>
    <xf numFmtId="3" fontId="4" fillId="2" borderId="7" xfId="0" applyNumberFormat="1" applyFont="1" applyFill="1" applyBorder="1" applyAlignment="1">
      <alignment vertical="center"/>
    </xf>
    <xf numFmtId="3" fontId="4" fillId="2" borderId="6" xfId="0" applyNumberFormat="1" applyFont="1" applyFill="1" applyBorder="1" applyAlignment="1" applyProtection="1">
      <alignment vertical="center"/>
      <protection locked="0"/>
    </xf>
    <xf numFmtId="3" fontId="4" fillId="2" borderId="8" xfId="0" applyNumberFormat="1" applyFont="1" applyFill="1" applyBorder="1" applyAlignment="1" applyProtection="1">
      <alignment horizontal="right" vertical="center"/>
      <protection locked="0"/>
    </xf>
    <xf numFmtId="3" fontId="4" fillId="2" borderId="9" xfId="0" applyNumberFormat="1" applyFont="1" applyFill="1" applyBorder="1" applyAlignment="1" applyProtection="1">
      <alignment vertical="center"/>
      <protection locked="0"/>
    </xf>
    <xf numFmtId="3" fontId="10" fillId="2" borderId="10" xfId="0" applyNumberFormat="1" applyFont="1" applyFill="1" applyBorder="1" applyAlignment="1" applyProtection="1">
      <alignment vertical="center"/>
      <protection locked="0"/>
    </xf>
    <xf numFmtId="3" fontId="4" fillId="2" borderId="11" xfId="0" applyNumberFormat="1" applyFont="1" applyFill="1" applyBorder="1" applyAlignment="1" applyProtection="1">
      <alignment vertical="center"/>
      <protection locked="0"/>
    </xf>
    <xf numFmtId="3" fontId="4" fillId="2" borderId="11" xfId="0" applyNumberFormat="1" applyFont="1" applyFill="1" applyBorder="1" applyAlignment="1">
      <alignment vertical="center"/>
    </xf>
    <xf numFmtId="3" fontId="4" fillId="2" borderId="10" xfId="0" applyNumberFormat="1" applyFont="1" applyFill="1" applyBorder="1" applyAlignment="1" applyProtection="1">
      <alignment vertical="center"/>
      <protection locked="0"/>
    </xf>
    <xf numFmtId="3" fontId="4" fillId="2" borderId="12" xfId="0" applyNumberFormat="1" applyFont="1" applyFill="1" applyBorder="1" applyAlignment="1" applyProtection="1">
      <alignment horizontal="right" vertical="center"/>
      <protection locked="0"/>
    </xf>
    <xf numFmtId="3" fontId="4" fillId="2" borderId="13" xfId="0" applyNumberFormat="1" applyFont="1" applyFill="1" applyBorder="1" applyAlignment="1" applyProtection="1">
      <alignment vertical="center"/>
      <protection locked="0"/>
    </xf>
    <xf numFmtId="3" fontId="10" fillId="2" borderId="14" xfId="0" applyNumberFormat="1" applyFont="1" applyFill="1" applyBorder="1" applyAlignment="1" applyProtection="1">
      <alignment vertical="center"/>
      <protection locked="0"/>
    </xf>
    <xf numFmtId="3" fontId="4" fillId="2" borderId="15" xfId="0" applyNumberFormat="1" applyFont="1" applyFill="1" applyBorder="1" applyAlignment="1" applyProtection="1">
      <alignment vertical="center"/>
      <protection locked="0"/>
    </xf>
    <xf numFmtId="3" fontId="4" fillId="2" borderId="15" xfId="0" applyNumberFormat="1" applyFont="1" applyFill="1" applyBorder="1" applyAlignment="1">
      <alignment vertical="center"/>
    </xf>
    <xf numFmtId="3" fontId="4" fillId="2" borderId="14" xfId="0" applyNumberFormat="1" applyFont="1" applyFill="1" applyBorder="1" applyAlignment="1" applyProtection="1">
      <alignment vertical="center"/>
      <protection locked="0"/>
    </xf>
    <xf numFmtId="3" fontId="4" fillId="2" borderId="16" xfId="0" applyNumberFormat="1" applyFont="1" applyFill="1" applyBorder="1" applyAlignment="1" applyProtection="1">
      <alignment horizontal="right" vertical="center"/>
      <protection locked="0"/>
    </xf>
    <xf numFmtId="3" fontId="5" fillId="2" borderId="17" xfId="0" applyNumberFormat="1" applyFont="1" applyFill="1" applyBorder="1" applyAlignment="1" applyProtection="1">
      <alignment vertical="center"/>
      <protection locked="0"/>
    </xf>
    <xf numFmtId="3" fontId="2" fillId="2" borderId="2" xfId="0" applyNumberFormat="1" applyFont="1" applyFill="1" applyBorder="1" applyAlignment="1" applyProtection="1">
      <alignment vertical="center"/>
      <protection locked="0"/>
    </xf>
    <xf numFmtId="3" fontId="5" fillId="2" borderId="1" xfId="0" applyNumberFormat="1" applyFont="1" applyFill="1" applyBorder="1" applyAlignment="1" applyProtection="1">
      <alignment vertical="center"/>
      <protection locked="0"/>
    </xf>
    <xf numFmtId="3" fontId="5" fillId="2" borderId="2" xfId="0" applyNumberFormat="1" applyFont="1" applyFill="1" applyBorder="1" applyAlignment="1" applyProtection="1">
      <alignment vertical="center"/>
      <protection locked="0"/>
    </xf>
    <xf numFmtId="3" fontId="4" fillId="2" borderId="7" xfId="0" applyNumberFormat="1" applyFont="1" applyFill="1" applyBorder="1" applyAlignment="1" applyProtection="1">
      <alignment horizontal="right" vertical="center"/>
      <protection locked="0"/>
    </xf>
    <xf numFmtId="3" fontId="4" fillId="2" borderId="11" xfId="0" applyNumberFormat="1" applyFont="1" applyFill="1" applyBorder="1" applyAlignment="1" applyProtection="1">
      <alignment horizontal="right" vertical="center"/>
      <protection locked="0"/>
    </xf>
    <xf numFmtId="0" fontId="4" fillId="2" borderId="11" xfId="0" applyNumberFormat="1" applyFont="1" applyFill="1" applyBorder="1" applyAlignment="1" applyProtection="1">
      <alignment vertical="center"/>
      <protection locked="0"/>
    </xf>
    <xf numFmtId="3" fontId="4" fillId="2" borderId="15" xfId="0" applyNumberFormat="1" applyFont="1" applyFill="1" applyBorder="1" applyAlignment="1" applyProtection="1">
      <alignment horizontal="right" vertical="center"/>
      <protection locked="0"/>
    </xf>
    <xf numFmtId="3" fontId="5" fillId="2" borderId="18" xfId="0" applyNumberFormat="1" applyFont="1" applyFill="1" applyBorder="1" applyAlignment="1" applyProtection="1">
      <alignment vertical="center"/>
      <protection locked="0"/>
    </xf>
    <xf numFmtId="3" fontId="5" fillId="2" borderId="19" xfId="0" applyNumberFormat="1" applyFont="1" applyFill="1" applyBorder="1" applyAlignment="1" applyProtection="1">
      <alignment vertical="center"/>
      <protection locked="0"/>
    </xf>
    <xf numFmtId="3" fontId="5" fillId="2" borderId="19" xfId="0" applyNumberFormat="1" applyFont="1" applyFill="1" applyBorder="1" applyAlignment="1" applyProtection="1">
      <alignment horizontal="right" vertical="center"/>
      <protection locked="0"/>
    </xf>
    <xf numFmtId="3" fontId="5" fillId="2" borderId="20" xfId="0" applyNumberFormat="1" applyFont="1" applyFill="1" applyBorder="1" applyAlignment="1" applyProtection="1">
      <alignment horizontal="right" vertical="center"/>
      <protection locked="0"/>
    </xf>
    <xf numFmtId="3" fontId="5" fillId="2" borderId="13" xfId="0" applyNumberFormat="1" applyFont="1" applyFill="1" applyBorder="1" applyAlignment="1" applyProtection="1">
      <alignment vertical="center"/>
      <protection locked="0"/>
    </xf>
    <xf numFmtId="3" fontId="9" fillId="2" borderId="13" xfId="0" applyNumberFormat="1" applyFont="1" applyFill="1" applyBorder="1" applyAlignment="1" applyProtection="1">
      <alignment vertical="center"/>
      <protection locked="0"/>
    </xf>
    <xf numFmtId="3" fontId="1" fillId="2" borderId="13" xfId="0" applyNumberFormat="1" applyFont="1" applyFill="1" applyBorder="1" applyAlignment="1" applyProtection="1">
      <alignment vertical="center"/>
      <protection locked="0"/>
    </xf>
    <xf numFmtId="3" fontId="9" fillId="2" borderId="21" xfId="0" applyNumberFormat="1" applyFont="1" applyFill="1" applyBorder="1" applyAlignment="1" applyProtection="1">
      <alignment vertical="center"/>
      <protection locked="0"/>
    </xf>
    <xf numFmtId="3" fontId="3" fillId="2" borderId="0" xfId="0" applyNumberFormat="1" applyFont="1" applyFill="1" applyBorder="1" applyAlignment="1" applyProtection="1">
      <alignment vertical="center"/>
      <protection locked="0"/>
    </xf>
    <xf numFmtId="0" fontId="6" fillId="2" borderId="0" xfId="0" applyNumberFormat="1" applyFont="1" applyFill="1" applyAlignment="1" applyProtection="1">
      <alignment vertical="center"/>
      <protection locked="0"/>
    </xf>
    <xf numFmtId="0" fontId="8" fillId="2" borderId="0" xfId="0" applyNumberFormat="1" applyFont="1" applyFill="1" applyAlignment="1" applyProtection="1">
      <alignment vertical="center"/>
      <protection locked="0"/>
    </xf>
    <xf numFmtId="3" fontId="1" fillId="2" borderId="22" xfId="0" applyNumberFormat="1" applyFont="1" applyFill="1" applyBorder="1" applyAlignment="1" applyProtection="1">
      <alignment vertical="center"/>
      <protection locked="0"/>
    </xf>
    <xf numFmtId="3" fontId="1" fillId="2" borderId="14" xfId="0" applyNumberFormat="1" applyFont="1" applyFill="1" applyBorder="1" applyAlignment="1" applyProtection="1">
      <alignment vertical="center"/>
      <protection locked="0"/>
    </xf>
    <xf numFmtId="3" fontId="1" fillId="2" borderId="23" xfId="0" applyNumberFormat="1" applyFont="1" applyFill="1" applyBorder="1" applyAlignment="1" applyProtection="1">
      <alignment vertical="center"/>
      <protection locked="0"/>
    </xf>
    <xf numFmtId="3" fontId="5" fillId="2" borderId="1" xfId="0" applyNumberFormat="1" applyFont="1" applyFill="1" applyBorder="1" applyAlignment="1" applyProtection="1">
      <alignment horizontal="right" vertical="center"/>
      <protection locked="0"/>
    </xf>
    <xf numFmtId="1" fontId="4" fillId="3" borderId="1" xfId="0" applyNumberFormat="1" applyFont="1" applyFill="1" applyBorder="1" applyAlignment="1" applyProtection="1">
      <alignment horizontal="right" vertical="center"/>
      <protection locked="0"/>
    </xf>
    <xf numFmtId="3" fontId="4" fillId="3" borderId="15" xfId="0" applyNumberFormat="1" applyFont="1" applyFill="1" applyBorder="1" applyAlignment="1" applyProtection="1">
      <alignment vertical="center"/>
      <protection locked="0"/>
    </xf>
    <xf numFmtId="3" fontId="5" fillId="3" borderId="1" xfId="0" applyNumberFormat="1" applyFont="1" applyFill="1" applyBorder="1" applyAlignment="1" applyProtection="1">
      <alignment vertical="center"/>
      <protection locked="0"/>
    </xf>
    <xf numFmtId="3" fontId="5" fillId="2" borderId="24" xfId="0" applyNumberFormat="1" applyFont="1" applyFill="1" applyBorder="1" applyAlignment="1" applyProtection="1">
      <alignment vertical="center"/>
      <protection locked="0"/>
    </xf>
    <xf numFmtId="3" fontId="4" fillId="2" borderId="24" xfId="0" applyNumberFormat="1" applyFont="1" applyFill="1" applyBorder="1" applyAlignment="1" applyProtection="1">
      <alignment vertical="center"/>
      <protection locked="0"/>
    </xf>
    <xf numFmtId="3" fontId="4" fillId="2" borderId="0" xfId="0" applyNumberFormat="1" applyFont="1" applyFill="1" applyBorder="1" applyAlignment="1" applyProtection="1">
      <alignment vertical="center"/>
      <protection locked="0"/>
    </xf>
    <xf numFmtId="3" fontId="4" fillId="2" borderId="0" xfId="0" applyNumberFormat="1" applyFont="1" applyFill="1" applyBorder="1" applyAlignment="1" applyProtection="1">
      <alignment horizontal="right" vertical="center"/>
      <protection locked="0"/>
    </xf>
    <xf numFmtId="3" fontId="4" fillId="3" borderId="0" xfId="0" applyNumberFormat="1" applyFont="1" applyFill="1" applyBorder="1" applyAlignment="1" applyProtection="1">
      <alignment vertical="center"/>
      <protection locked="0"/>
    </xf>
    <xf numFmtId="3" fontId="5" fillId="2" borderId="25" xfId="0" applyNumberFormat="1" applyFont="1" applyFill="1" applyBorder="1" applyAlignment="1" applyProtection="1">
      <alignment vertical="center"/>
      <protection locked="0"/>
    </xf>
    <xf numFmtId="3" fontId="4" fillId="2" borderId="25" xfId="0" applyNumberFormat="1" applyFont="1" applyFill="1" applyBorder="1" applyAlignment="1" applyProtection="1">
      <alignment vertical="center"/>
      <protection locked="0"/>
    </xf>
    <xf numFmtId="3" fontId="4" fillId="2" borderId="25" xfId="0" applyNumberFormat="1" applyFont="1" applyFill="1" applyBorder="1" applyAlignment="1" applyProtection="1">
      <alignment horizontal="right" vertical="center"/>
      <protection locked="0"/>
    </xf>
    <xf numFmtId="3" fontId="4" fillId="3" borderId="25" xfId="0" applyNumberFormat="1" applyFont="1" applyFill="1" applyBorder="1" applyAlignment="1" applyProtection="1">
      <alignment vertical="center"/>
      <protection locked="0"/>
    </xf>
    <xf numFmtId="3" fontId="4" fillId="2" borderId="26" xfId="0" applyNumberFormat="1" applyFont="1" applyFill="1" applyBorder="1" applyAlignment="1" applyProtection="1">
      <alignment horizontal="right" vertical="center"/>
      <protection locked="0"/>
    </xf>
    <xf numFmtId="3" fontId="5" fillId="3" borderId="19" xfId="0" applyNumberFormat="1" applyFont="1" applyFill="1" applyBorder="1" applyAlignment="1" applyProtection="1">
      <alignment vertical="center"/>
      <protection locked="0"/>
    </xf>
    <xf numFmtId="3" fontId="1" fillId="2" borderId="0" xfId="0" applyNumberFormat="1" applyFont="1" applyFill="1" applyAlignment="1" applyProtection="1">
      <alignment vertical="center"/>
      <protection locked="0"/>
    </xf>
    <xf numFmtId="0" fontId="7" fillId="0" borderId="0" xfId="0" applyFont="1" applyAlignment="1"/>
    <xf numFmtId="3" fontId="4" fillId="3" borderId="7" xfId="0" applyNumberFormat="1" applyFont="1" applyFill="1" applyBorder="1" applyAlignment="1" applyProtection="1">
      <alignment vertical="center"/>
      <protection locked="0"/>
    </xf>
    <xf numFmtId="3" fontId="4" fillId="3" borderId="11" xfId="0" applyNumberFormat="1" applyFont="1" applyFill="1" applyBorder="1" applyAlignment="1" applyProtection="1">
      <alignment vertical="center"/>
      <protection locked="0"/>
    </xf>
    <xf numFmtId="3" fontId="4" fillId="3" borderId="11" xfId="0" applyNumberFormat="1" applyFont="1" applyFill="1" applyBorder="1" applyAlignment="1" applyProtection="1">
      <alignment horizontal="right" vertical="center"/>
      <protection locked="0"/>
    </xf>
    <xf numFmtId="0" fontId="7" fillId="0" borderId="0" xfId="0" applyFont="1" applyBorder="1" applyAlignment="1"/>
    <xf numFmtId="0" fontId="13" fillId="0" borderId="0" xfId="0" applyFont="1" applyBorder="1"/>
    <xf numFmtId="3" fontId="5" fillId="0" borderId="27" xfId="0" applyNumberFormat="1" applyFont="1" applyBorder="1" applyAlignment="1">
      <alignment vertical="center"/>
    </xf>
    <xf numFmtId="3" fontId="5" fillId="0" borderId="28" xfId="0" applyNumberFormat="1" applyFont="1" applyBorder="1" applyAlignment="1">
      <alignment vertical="center"/>
    </xf>
    <xf numFmtId="3" fontId="5" fillId="0" borderId="28" xfId="0" applyNumberFormat="1" applyFont="1" applyBorder="1" applyAlignment="1">
      <alignment horizontal="center" vertical="center"/>
    </xf>
    <xf numFmtId="3" fontId="4" fillId="0" borderId="13" xfId="0" applyNumberFormat="1" applyFont="1" applyBorder="1" applyAlignment="1">
      <alignment vertical="center"/>
    </xf>
    <xf numFmtId="3" fontId="5" fillId="0" borderId="0" xfId="0" applyNumberFormat="1" applyFont="1" applyBorder="1" applyAlignment="1">
      <alignment vertical="center"/>
    </xf>
    <xf numFmtId="3" fontId="5" fillId="0" borderId="13" xfId="0" applyNumberFormat="1" applyFont="1" applyBorder="1" applyAlignment="1">
      <alignment vertical="center"/>
    </xf>
    <xf numFmtId="3" fontId="5" fillId="0" borderId="24" xfId="0" applyNumberFormat="1" applyFont="1" applyBorder="1" applyAlignment="1" applyProtection="1">
      <alignment horizontal="left" vertical="center"/>
      <protection locked="0"/>
    </xf>
    <xf numFmtId="3" fontId="5" fillId="0" borderId="0" xfId="0" applyNumberFormat="1" applyFont="1" applyBorder="1" applyAlignment="1" applyProtection="1">
      <alignment vertical="center"/>
      <protection locked="0"/>
    </xf>
    <xf numFmtId="3" fontId="5" fillId="0" borderId="0" xfId="0" applyNumberFormat="1" applyFont="1" applyBorder="1" applyAlignment="1" applyProtection="1">
      <alignment horizontal="left" vertical="center"/>
      <protection locked="0"/>
    </xf>
    <xf numFmtId="1" fontId="5" fillId="0" borderId="13" xfId="0" applyNumberFormat="1" applyFont="1" applyBorder="1" applyAlignment="1" applyProtection="1">
      <alignment horizontal="left" vertical="center"/>
      <protection locked="0"/>
    </xf>
    <xf numFmtId="3" fontId="5" fillId="0" borderId="29" xfId="0" applyNumberFormat="1" applyFont="1" applyBorder="1" applyAlignment="1">
      <alignment vertical="center"/>
    </xf>
    <xf numFmtId="3" fontId="5" fillId="0" borderId="30" xfId="0" applyNumberFormat="1" applyFont="1" applyBorder="1" applyAlignment="1" applyProtection="1">
      <alignment vertical="center"/>
      <protection locked="0"/>
    </xf>
    <xf numFmtId="3" fontId="4" fillId="0" borderId="0" xfId="0" applyNumberFormat="1" applyFont="1" applyBorder="1" applyAlignment="1">
      <alignment vertical="center"/>
    </xf>
    <xf numFmtId="3" fontId="4" fillId="0" borderId="0" xfId="0" applyNumberFormat="1" applyFont="1" applyAlignment="1">
      <alignment vertical="center"/>
    </xf>
    <xf numFmtId="3" fontId="6" fillId="0" borderId="0" xfId="0" applyNumberFormat="1" applyFont="1" applyAlignment="1">
      <alignment vertical="center"/>
    </xf>
    <xf numFmtId="3" fontId="4" fillId="0" borderId="28" xfId="0" applyNumberFormat="1" applyFont="1" applyBorder="1" applyAlignment="1">
      <alignment vertical="center"/>
    </xf>
    <xf numFmtId="3" fontId="5" fillId="0" borderId="22" xfId="0" applyNumberFormat="1" applyFont="1" applyBorder="1" applyAlignment="1">
      <alignment vertical="center"/>
    </xf>
    <xf numFmtId="3" fontId="5" fillId="0" borderId="14" xfId="0" applyNumberFormat="1" applyFont="1" applyBorder="1" applyAlignment="1">
      <alignment vertical="center"/>
    </xf>
    <xf numFmtId="3" fontId="5" fillId="0" borderId="15" xfId="0" applyNumberFormat="1" applyFont="1" applyBorder="1" applyAlignment="1">
      <alignment horizontal="center" vertical="center"/>
    </xf>
    <xf numFmtId="3" fontId="9" fillId="0" borderId="15" xfId="0" applyNumberFormat="1" applyFont="1" applyBorder="1" applyAlignment="1">
      <alignment horizontal="center" vertical="center"/>
    </xf>
    <xf numFmtId="3" fontId="4" fillId="0" borderId="15" xfId="0" applyNumberFormat="1" applyFont="1" applyBorder="1" applyAlignment="1" applyProtection="1">
      <alignment horizontal="right" vertical="center"/>
      <protection locked="0"/>
    </xf>
    <xf numFmtId="3" fontId="4" fillId="0" borderId="31" xfId="0" applyNumberFormat="1" applyFont="1" applyBorder="1" applyAlignment="1" applyProtection="1">
      <alignment horizontal="right" vertical="center"/>
      <protection locked="0"/>
    </xf>
    <xf numFmtId="3" fontId="4" fillId="0" borderId="32" xfId="0" applyNumberFormat="1" applyFont="1" applyBorder="1" applyAlignment="1" applyProtection="1">
      <alignment horizontal="right" vertical="center"/>
      <protection locked="0"/>
    </xf>
    <xf numFmtId="3" fontId="4" fillId="0" borderId="14" xfId="0" applyNumberFormat="1" applyFont="1" applyBorder="1" applyAlignment="1">
      <alignment vertical="center"/>
    </xf>
    <xf numFmtId="3" fontId="5" fillId="0" borderId="16" xfId="0" applyNumberFormat="1" applyFont="1" applyBorder="1" applyAlignment="1">
      <alignment horizontal="center" vertical="center"/>
    </xf>
    <xf numFmtId="3" fontId="4" fillId="0" borderId="16" xfId="0" applyNumberFormat="1" applyFont="1" applyBorder="1" applyAlignment="1">
      <alignment vertical="center"/>
    </xf>
    <xf numFmtId="3" fontId="5" fillId="0" borderId="16" xfId="0" applyNumberFormat="1" applyFont="1" applyBorder="1" applyAlignment="1">
      <alignment vertical="center"/>
    </xf>
    <xf numFmtId="3" fontId="4" fillId="0" borderId="16" xfId="0" applyNumberFormat="1" applyFont="1" applyBorder="1" applyAlignment="1">
      <alignment horizontal="right" vertical="center"/>
    </xf>
    <xf numFmtId="3" fontId="4" fillId="0" borderId="34" xfId="0" applyNumberFormat="1" applyFont="1" applyBorder="1" applyAlignment="1">
      <alignment horizontal="right" vertical="center"/>
    </xf>
    <xf numFmtId="3" fontId="5" fillId="0" borderId="35" xfId="0" applyNumberFormat="1" applyFont="1" applyBorder="1" applyAlignment="1">
      <alignment vertical="center"/>
    </xf>
    <xf numFmtId="1" fontId="5" fillId="0" borderId="5" xfId="0" applyNumberFormat="1" applyFont="1" applyBorder="1" applyAlignment="1" applyProtection="1">
      <alignment horizontal="left" vertical="center"/>
      <protection locked="0"/>
    </xf>
    <xf numFmtId="3" fontId="5" fillId="0" borderId="36" xfId="0" applyNumberFormat="1" applyFont="1" applyBorder="1" applyAlignment="1" applyProtection="1">
      <alignment vertical="center"/>
      <protection locked="0"/>
    </xf>
    <xf numFmtId="3" fontId="4" fillId="0" borderId="7" xfId="0" applyNumberFormat="1" applyFont="1" applyBorder="1" applyAlignment="1" applyProtection="1">
      <alignment horizontal="right" vertical="center"/>
      <protection locked="0"/>
    </xf>
    <xf numFmtId="3" fontId="4" fillId="0" borderId="8" xfId="0" applyNumberFormat="1" applyFont="1" applyBorder="1" applyAlignment="1">
      <alignment horizontal="right" vertical="center"/>
    </xf>
    <xf numFmtId="3" fontId="4" fillId="0" borderId="9" xfId="0" applyNumberFormat="1" applyFont="1" applyBorder="1" applyAlignment="1">
      <alignment vertical="center"/>
    </xf>
    <xf numFmtId="3" fontId="5" fillId="0" borderId="37" xfId="0" applyNumberFormat="1" applyFont="1" applyBorder="1" applyAlignment="1" applyProtection="1">
      <alignment vertical="center"/>
      <protection locked="0"/>
    </xf>
    <xf numFmtId="3" fontId="4" fillId="0" borderId="11" xfId="0" applyNumberFormat="1" applyFont="1" applyBorder="1" applyAlignment="1" applyProtection="1">
      <alignment horizontal="right" vertical="center"/>
      <protection locked="0"/>
    </xf>
    <xf numFmtId="3" fontId="4" fillId="0" borderId="12" xfId="0" applyNumberFormat="1" applyFont="1" applyBorder="1" applyAlignment="1">
      <alignment horizontal="right" vertical="center"/>
    </xf>
    <xf numFmtId="1" fontId="5" fillId="0" borderId="9" xfId="0" applyNumberFormat="1" applyFont="1" applyBorder="1" applyAlignment="1" applyProtection="1">
      <alignment horizontal="left" vertical="center"/>
      <protection locked="0"/>
    </xf>
    <xf numFmtId="3" fontId="5" fillId="0" borderId="23" xfId="0" applyNumberFormat="1" applyFont="1" applyBorder="1" applyAlignment="1">
      <alignment vertical="center"/>
    </xf>
    <xf numFmtId="3" fontId="5" fillId="0" borderId="9" xfId="0" applyNumberFormat="1" applyFont="1" applyBorder="1" applyAlignment="1">
      <alignment vertical="center"/>
    </xf>
    <xf numFmtId="0" fontId="13" fillId="0" borderId="0" xfId="0" applyFont="1" applyAlignment="1">
      <alignment horizontal="left"/>
    </xf>
    <xf numFmtId="3" fontId="4" fillId="0" borderId="27" xfId="0" applyNumberFormat="1" applyFont="1" applyBorder="1" applyAlignment="1">
      <alignment vertical="center"/>
    </xf>
    <xf numFmtId="3" fontId="4" fillId="0" borderId="28" xfId="0" applyNumberFormat="1" applyFont="1" applyBorder="1" applyAlignment="1">
      <alignment horizontal="left" vertical="center"/>
    </xf>
    <xf numFmtId="3" fontId="4" fillId="0" borderId="22" xfId="0" applyNumberFormat="1" applyFont="1" applyBorder="1" applyAlignment="1">
      <alignment vertical="center"/>
    </xf>
    <xf numFmtId="3" fontId="5" fillId="0" borderId="35" xfId="0" applyNumberFormat="1" applyFont="1" applyBorder="1" applyAlignment="1">
      <alignment horizontal="center" vertical="center"/>
    </xf>
    <xf numFmtId="3" fontId="4" fillId="0" borderId="35" xfId="0" applyNumberFormat="1" applyFont="1" applyBorder="1" applyAlignment="1">
      <alignment vertical="center"/>
    </xf>
    <xf numFmtId="3" fontId="4" fillId="0" borderId="33" xfId="0" applyNumberFormat="1" applyFont="1" applyBorder="1" applyAlignment="1">
      <alignment vertical="center"/>
    </xf>
    <xf numFmtId="3" fontId="5" fillId="0" borderId="0" xfId="0" applyNumberFormat="1" applyFont="1" applyBorder="1" applyAlignment="1">
      <alignment horizontal="left" vertical="center"/>
    </xf>
    <xf numFmtId="3" fontId="5" fillId="0" borderId="38" xfId="0" applyNumberFormat="1" applyFont="1" applyBorder="1" applyAlignment="1">
      <alignment vertical="center"/>
    </xf>
    <xf numFmtId="3" fontId="5" fillId="0" borderId="24" xfId="0" applyNumberFormat="1" applyFont="1" applyBorder="1" applyAlignment="1">
      <alignment horizontal="left" vertical="center"/>
    </xf>
    <xf numFmtId="3" fontId="5" fillId="0" borderId="24" xfId="0" applyNumberFormat="1" applyFont="1" applyBorder="1" applyAlignment="1">
      <alignment vertical="center"/>
    </xf>
    <xf numFmtId="3" fontId="5" fillId="0" borderId="39" xfId="0" applyNumberFormat="1" applyFont="1" applyBorder="1" applyAlignment="1">
      <alignment vertical="center"/>
    </xf>
    <xf numFmtId="3" fontId="4" fillId="0" borderId="31" xfId="0" applyNumberFormat="1" applyFont="1" applyBorder="1" applyAlignment="1">
      <alignment horizontal="right" vertical="center"/>
    </xf>
    <xf numFmtId="3" fontId="5" fillId="0" borderId="40" xfId="0" applyNumberFormat="1" applyFont="1" applyBorder="1" applyAlignment="1">
      <alignment vertical="center"/>
    </xf>
    <xf numFmtId="3" fontId="5" fillId="0" borderId="41" xfId="0" applyNumberFormat="1" applyFont="1" applyBorder="1" applyAlignment="1">
      <alignment horizontal="left" vertical="center"/>
    </xf>
    <xf numFmtId="3" fontId="4" fillId="0" borderId="42" xfId="0" applyNumberFormat="1" applyFont="1" applyBorder="1" applyAlignment="1">
      <alignment horizontal="right" vertical="center"/>
    </xf>
    <xf numFmtId="3" fontId="5" fillId="0" borderId="43" xfId="0" applyNumberFormat="1" applyFont="1" applyBorder="1" applyAlignment="1">
      <alignment vertical="center"/>
    </xf>
    <xf numFmtId="3" fontId="5" fillId="0" borderId="44" xfId="0" applyNumberFormat="1" applyFont="1" applyBorder="1" applyAlignment="1">
      <alignment vertical="center"/>
    </xf>
    <xf numFmtId="3" fontId="4" fillId="0" borderId="46" xfId="0" applyNumberFormat="1" applyFont="1" applyBorder="1" applyAlignment="1" applyProtection="1">
      <alignment horizontal="right" vertical="center"/>
      <protection locked="0"/>
    </xf>
    <xf numFmtId="1" fontId="5" fillId="0" borderId="43" xfId="0" applyNumberFormat="1" applyFont="1" applyBorder="1" applyAlignment="1" applyProtection="1">
      <alignment horizontal="left" vertical="center"/>
      <protection locked="0"/>
    </xf>
    <xf numFmtId="3" fontId="5" fillId="0" borderId="44" xfId="0" applyNumberFormat="1" applyFont="1" applyBorder="1" applyAlignment="1" applyProtection="1">
      <alignment vertical="center"/>
      <protection locked="0"/>
    </xf>
    <xf numFmtId="3" fontId="5" fillId="0" borderId="44" xfId="0" applyNumberFormat="1" applyFont="1" applyBorder="1" applyAlignment="1">
      <alignment horizontal="left" vertical="center"/>
    </xf>
    <xf numFmtId="3" fontId="5" fillId="0" borderId="37" xfId="0" applyNumberFormat="1" applyFont="1" applyBorder="1" applyAlignment="1" applyProtection="1">
      <alignment horizontal="left" vertical="center"/>
      <protection locked="0"/>
    </xf>
    <xf numFmtId="3" fontId="4" fillId="0" borderId="11" xfId="0" applyNumberFormat="1" applyFont="1" applyBorder="1" applyAlignment="1">
      <alignment horizontal="right" vertical="center"/>
    </xf>
    <xf numFmtId="3" fontId="4" fillId="0" borderId="51" xfId="0" applyNumberFormat="1" applyFont="1" applyBorder="1" applyAlignment="1" applyProtection="1">
      <alignment horizontal="right" vertical="center"/>
      <protection locked="0"/>
    </xf>
    <xf numFmtId="3" fontId="4" fillId="0" borderId="32" xfId="0" applyNumberFormat="1" applyFont="1" applyBorder="1" applyAlignment="1">
      <alignment horizontal="right" vertical="center"/>
    </xf>
    <xf numFmtId="3" fontId="5" fillId="0" borderId="41" xfId="0" applyNumberFormat="1" applyFont="1" applyBorder="1" applyAlignment="1">
      <alignment vertical="center"/>
    </xf>
    <xf numFmtId="3" fontId="4" fillId="0" borderId="25" xfId="0" applyNumberFormat="1" applyFont="1" applyBorder="1" applyAlignment="1">
      <alignment vertical="center"/>
    </xf>
    <xf numFmtId="3" fontId="4" fillId="0" borderId="52" xfId="0" applyNumberFormat="1" applyFont="1" applyBorder="1" applyAlignment="1">
      <alignment horizontal="right" vertical="center"/>
    </xf>
    <xf numFmtId="3" fontId="5" fillId="0" borderId="38" xfId="0" applyNumberFormat="1" applyFont="1" applyBorder="1" applyAlignment="1">
      <alignment horizontal="left" vertical="center"/>
    </xf>
    <xf numFmtId="3" fontId="13" fillId="0" borderId="53" xfId="0" applyNumberFormat="1" applyFont="1" applyBorder="1" applyAlignment="1" applyProtection="1">
      <alignment horizontal="left" vertical="center"/>
      <protection locked="0"/>
    </xf>
    <xf numFmtId="3" fontId="5" fillId="0" borderId="25" xfId="0" applyNumberFormat="1" applyFont="1" applyBorder="1" applyAlignment="1">
      <alignment vertical="center"/>
    </xf>
    <xf numFmtId="3" fontId="9" fillId="0" borderId="52" xfId="0" applyNumberFormat="1" applyFont="1" applyBorder="1" applyAlignment="1">
      <alignment horizontal="center" vertical="center"/>
    </xf>
    <xf numFmtId="3" fontId="5" fillId="0" borderId="21" xfId="0" applyNumberFormat="1" applyFont="1" applyBorder="1" applyAlignment="1">
      <alignment vertical="center"/>
    </xf>
    <xf numFmtId="3" fontId="4" fillId="0" borderId="23" xfId="0" applyNumberFormat="1" applyFont="1" applyBorder="1" applyAlignment="1">
      <alignment vertical="center"/>
    </xf>
    <xf numFmtId="3" fontId="5" fillId="0" borderId="52" xfId="0" applyNumberFormat="1" applyFont="1" applyBorder="1" applyAlignment="1">
      <alignment horizontal="center" vertical="center"/>
    </xf>
    <xf numFmtId="3" fontId="5" fillId="0" borderId="26" xfId="0" applyNumberFormat="1" applyFont="1" applyBorder="1" applyAlignment="1">
      <alignment horizontal="center" vertical="center"/>
    </xf>
    <xf numFmtId="0" fontId="0" fillId="0" borderId="0" xfId="0" applyBorder="1"/>
    <xf numFmtId="3" fontId="4" fillId="0" borderId="36" xfId="0" applyNumberFormat="1" applyFont="1" applyBorder="1" applyAlignment="1">
      <alignment vertical="center"/>
    </xf>
    <xf numFmtId="3" fontId="5" fillId="0" borderId="36" xfId="0" applyNumberFormat="1" applyFont="1" applyBorder="1" applyAlignment="1" applyProtection="1">
      <alignment horizontal="left" vertical="center"/>
      <protection locked="0"/>
    </xf>
    <xf numFmtId="3" fontId="5" fillId="0" borderId="25" xfId="0" applyNumberFormat="1" applyFont="1" applyBorder="1" applyAlignment="1" applyProtection="1">
      <alignment horizontal="left" vertical="center"/>
      <protection locked="0"/>
    </xf>
    <xf numFmtId="3" fontId="5" fillId="0" borderId="0" xfId="0" applyNumberFormat="1" applyFont="1" applyAlignment="1" applyProtection="1">
      <alignment horizontal="left" vertical="center"/>
      <protection locked="0"/>
    </xf>
    <xf numFmtId="3" fontId="5" fillId="0" borderId="9" xfId="0" applyNumberFormat="1" applyFont="1" applyBorder="1" applyAlignment="1">
      <alignment horizontal="left" vertical="center"/>
    </xf>
    <xf numFmtId="3" fontId="5" fillId="0" borderId="37" xfId="0" applyNumberFormat="1" applyFont="1" applyBorder="1" applyAlignment="1">
      <alignment vertical="center"/>
    </xf>
    <xf numFmtId="3" fontId="5" fillId="0" borderId="9" xfId="0" applyNumberFormat="1" applyFont="1" applyBorder="1" applyAlignment="1" applyProtection="1">
      <alignment vertical="center"/>
      <protection locked="0"/>
    </xf>
    <xf numFmtId="3" fontId="5" fillId="0" borderId="30" xfId="0" applyNumberFormat="1" applyFont="1" applyBorder="1" applyAlignment="1">
      <alignment vertical="center"/>
    </xf>
    <xf numFmtId="3" fontId="10" fillId="0" borderId="55" xfId="0" applyNumberFormat="1" applyFont="1" applyBorder="1" applyAlignment="1">
      <alignment vertical="center"/>
    </xf>
    <xf numFmtId="3" fontId="9" fillId="0" borderId="25" xfId="0" applyNumberFormat="1" applyFont="1" applyBorder="1" applyAlignment="1">
      <alignment horizontal="center" vertical="center"/>
    </xf>
    <xf numFmtId="3" fontId="9" fillId="0" borderId="6" xfId="0" applyNumberFormat="1" applyFont="1" applyBorder="1" applyAlignment="1" applyProtection="1">
      <alignment horizontal="left" vertical="center"/>
      <protection locked="0"/>
    </xf>
    <xf numFmtId="3" fontId="9" fillId="0" borderId="10" xfId="0" applyNumberFormat="1" applyFont="1" applyBorder="1" applyAlignment="1" applyProtection="1">
      <alignment horizontal="left" vertical="center"/>
      <protection locked="0"/>
    </xf>
    <xf numFmtId="3" fontId="9" fillId="0" borderId="45" xfId="0" applyNumberFormat="1" applyFont="1" applyBorder="1" applyAlignment="1" applyProtection="1">
      <alignment horizontal="left" vertical="center"/>
      <protection locked="0"/>
    </xf>
    <xf numFmtId="3" fontId="9" fillId="0" borderId="14" xfId="0" applyNumberFormat="1" applyFont="1" applyBorder="1" applyAlignment="1" applyProtection="1">
      <alignment horizontal="left" vertical="center"/>
      <protection locked="0"/>
    </xf>
    <xf numFmtId="3" fontId="9" fillId="0" borderId="6" xfId="0" applyNumberFormat="1" applyFont="1" applyBorder="1" applyAlignment="1" applyProtection="1">
      <alignment vertical="center"/>
      <protection locked="0"/>
    </xf>
    <xf numFmtId="3" fontId="9" fillId="0" borderId="10" xfId="0" applyNumberFormat="1" applyFont="1" applyBorder="1" applyAlignment="1" applyProtection="1">
      <alignment vertical="center"/>
      <protection locked="0"/>
    </xf>
    <xf numFmtId="3" fontId="9" fillId="0" borderId="45" xfId="0" applyNumberFormat="1" applyFont="1" applyBorder="1" applyAlignment="1" applyProtection="1">
      <alignment vertical="center"/>
      <protection locked="0"/>
    </xf>
    <xf numFmtId="3" fontId="9" fillId="0" borderId="56" xfId="0" applyNumberFormat="1" applyFont="1" applyBorder="1" applyAlignment="1" applyProtection="1">
      <alignment vertical="center"/>
      <protection locked="0"/>
    </xf>
    <xf numFmtId="3" fontId="8" fillId="0" borderId="0" xfId="0" applyNumberFormat="1" applyFont="1" applyAlignment="1">
      <alignment vertical="center"/>
    </xf>
    <xf numFmtId="3" fontId="12" fillId="0" borderId="0" xfId="0" applyNumberFormat="1" applyFont="1" applyBorder="1" applyAlignment="1">
      <alignment vertical="center"/>
    </xf>
    <xf numFmtId="3" fontId="12" fillId="0" borderId="0" xfId="0" applyNumberFormat="1" applyFont="1" applyAlignment="1">
      <alignment vertical="center"/>
    </xf>
    <xf numFmtId="3" fontId="5" fillId="0" borderId="24" xfId="0" applyNumberFormat="1" applyFont="1" applyBorder="1" applyAlignment="1" applyProtection="1">
      <alignment vertical="center"/>
      <protection locked="0"/>
    </xf>
    <xf numFmtId="3" fontId="9" fillId="0" borderId="39" xfId="0" applyNumberFormat="1" applyFont="1" applyBorder="1" applyAlignment="1" applyProtection="1">
      <alignment horizontal="left" vertical="center"/>
      <protection locked="0"/>
    </xf>
    <xf numFmtId="3" fontId="18" fillId="0" borderId="10" xfId="0" applyNumberFormat="1" applyFont="1" applyBorder="1" applyAlignment="1">
      <alignment vertical="center"/>
    </xf>
    <xf numFmtId="3" fontId="18" fillId="0" borderId="39" xfId="0" applyNumberFormat="1" applyFont="1" applyBorder="1" applyAlignment="1">
      <alignment vertical="center"/>
    </xf>
    <xf numFmtId="0" fontId="19" fillId="0" borderId="0" xfId="0" applyFont="1" applyBorder="1"/>
    <xf numFmtId="0" fontId="19" fillId="0" borderId="0" xfId="0" applyFont="1"/>
    <xf numFmtId="3" fontId="5" fillId="0" borderId="36" xfId="0" applyNumberFormat="1" applyFont="1" applyBorder="1" applyAlignment="1">
      <alignment vertical="center"/>
    </xf>
    <xf numFmtId="3" fontId="4" fillId="0" borderId="6" xfId="0" applyNumberFormat="1" applyFont="1" applyBorder="1" applyAlignment="1">
      <alignment vertical="center"/>
    </xf>
    <xf numFmtId="3" fontId="9" fillId="0" borderId="23" xfId="0" applyNumberFormat="1" applyFont="1" applyBorder="1" applyAlignment="1" applyProtection="1">
      <alignment horizontal="left" vertical="center"/>
      <protection locked="0"/>
    </xf>
    <xf numFmtId="3" fontId="9" fillId="0" borderId="23" xfId="0" applyNumberFormat="1" applyFont="1" applyBorder="1" applyAlignment="1" applyProtection="1">
      <alignment vertical="center"/>
      <protection locked="0"/>
    </xf>
    <xf numFmtId="3" fontId="4" fillId="0" borderId="7" xfId="0" applyNumberFormat="1" applyFont="1" applyBorder="1" applyAlignment="1">
      <alignment horizontal="right" vertical="center"/>
    </xf>
    <xf numFmtId="3" fontId="5" fillId="0" borderId="6" xfId="0" applyNumberFormat="1" applyFont="1" applyBorder="1" applyAlignment="1">
      <alignment vertical="center"/>
    </xf>
    <xf numFmtId="3" fontId="9" fillId="0" borderId="10" xfId="0" applyNumberFormat="1" applyFont="1" applyBorder="1" applyAlignment="1">
      <alignment vertical="center"/>
    </xf>
    <xf numFmtId="3" fontId="9" fillId="0" borderId="23" xfId="0" applyNumberFormat="1" applyFont="1" applyBorder="1" applyAlignment="1">
      <alignment vertical="center"/>
    </xf>
    <xf numFmtId="3" fontId="9" fillId="0" borderId="56" xfId="0" applyNumberFormat="1" applyFont="1" applyBorder="1" applyAlignment="1">
      <alignment vertical="center"/>
    </xf>
    <xf numFmtId="3" fontId="4" fillId="0" borderId="29" xfId="0" applyNumberFormat="1" applyFont="1" applyBorder="1" applyAlignment="1">
      <alignment vertical="center"/>
    </xf>
    <xf numFmtId="3" fontId="4" fillId="0" borderId="21" xfId="0" applyNumberFormat="1" applyFont="1" applyBorder="1" applyAlignment="1">
      <alignment vertical="center"/>
    </xf>
    <xf numFmtId="0" fontId="22" fillId="0" borderId="0" xfId="0" applyFont="1"/>
    <xf numFmtId="3" fontId="4" fillId="0" borderId="46" xfId="0" applyNumberFormat="1" applyFont="1" applyBorder="1" applyAlignment="1">
      <alignment vertical="center"/>
    </xf>
    <xf numFmtId="3" fontId="9" fillId="0" borderId="9" xfId="0" applyNumberFormat="1" applyFont="1" applyBorder="1" applyAlignment="1">
      <alignment vertical="center"/>
    </xf>
    <xf numFmtId="3" fontId="4" fillId="0" borderId="9" xfId="0" applyNumberFormat="1" applyFont="1" applyBorder="1" applyAlignment="1">
      <alignment horizontal="left" vertical="center"/>
    </xf>
    <xf numFmtId="3" fontId="4" fillId="0" borderId="9" xfId="0" applyNumberFormat="1" applyFont="1" applyBorder="1" applyAlignment="1" applyProtection="1">
      <alignment vertical="center"/>
      <protection locked="0"/>
    </xf>
    <xf numFmtId="0" fontId="13" fillId="0" borderId="0" xfId="0" applyFont="1" applyAlignment="1">
      <alignment vertical="center"/>
    </xf>
    <xf numFmtId="0" fontId="13" fillId="0" borderId="0" xfId="0" applyFont="1" applyBorder="1" applyAlignment="1">
      <alignment vertical="center"/>
    </xf>
    <xf numFmtId="3" fontId="2" fillId="2" borderId="0" xfId="0" applyNumberFormat="1" applyFont="1" applyFill="1" applyAlignment="1" applyProtection="1">
      <alignment vertical="center"/>
      <protection locked="0"/>
    </xf>
    <xf numFmtId="3" fontId="5" fillId="0" borderId="57" xfId="0" applyNumberFormat="1" applyFont="1" applyBorder="1" applyAlignment="1">
      <alignment vertical="center"/>
    </xf>
    <xf numFmtId="3" fontId="9" fillId="0" borderId="58" xfId="0" applyNumberFormat="1" applyFont="1" applyBorder="1" applyAlignment="1">
      <alignment vertical="center"/>
    </xf>
    <xf numFmtId="3" fontId="5" fillId="0" borderId="58" xfId="0" applyNumberFormat="1" applyFont="1" applyBorder="1" applyAlignment="1" applyProtection="1">
      <alignment vertical="center"/>
      <protection locked="0"/>
    </xf>
    <xf numFmtId="3" fontId="5" fillId="0" borderId="58" xfId="0" applyNumberFormat="1" applyFont="1" applyBorder="1" applyAlignment="1">
      <alignment horizontal="left" vertical="center"/>
    </xf>
    <xf numFmtId="3" fontId="5" fillId="0" borderId="58" xfId="0" applyNumberFormat="1" applyFont="1" applyBorder="1" applyAlignment="1">
      <alignment vertical="center"/>
    </xf>
    <xf numFmtId="3" fontId="4" fillId="2" borderId="31" xfId="0" applyNumberFormat="1" applyFont="1" applyFill="1" applyBorder="1" applyAlignment="1">
      <alignment vertical="center"/>
    </xf>
    <xf numFmtId="3" fontId="4" fillId="0" borderId="59" xfId="0" applyNumberFormat="1" applyFont="1" applyBorder="1" applyAlignment="1" applyProtection="1">
      <alignment horizontal="right" vertical="center"/>
      <protection locked="0"/>
    </xf>
    <xf numFmtId="3" fontId="4" fillId="0" borderId="59" xfId="0" applyNumberFormat="1" applyFont="1" applyBorder="1" applyAlignment="1">
      <alignment horizontal="right" vertical="center"/>
    </xf>
    <xf numFmtId="3" fontId="4" fillId="0" borderId="60" xfId="0" applyNumberFormat="1" applyFont="1" applyBorder="1" applyAlignment="1">
      <alignment horizontal="right" vertical="center"/>
    </xf>
    <xf numFmtId="3" fontId="4" fillId="0" borderId="61" xfId="0" applyNumberFormat="1" applyFont="1" applyBorder="1" applyAlignment="1">
      <alignment horizontal="right" vertical="center"/>
    </xf>
    <xf numFmtId="3" fontId="4" fillId="0" borderId="62" xfId="0" applyNumberFormat="1" applyFont="1" applyBorder="1" applyAlignment="1" applyProtection="1">
      <alignment horizontal="right" vertical="center"/>
      <protection locked="0"/>
    </xf>
    <xf numFmtId="3" fontId="4" fillId="0" borderId="63" xfId="0" applyNumberFormat="1" applyFont="1" applyBorder="1" applyAlignment="1">
      <alignment horizontal="right" vertical="center"/>
    </xf>
    <xf numFmtId="3" fontId="4" fillId="0" borderId="54" xfId="0" applyNumberFormat="1" applyFont="1" applyBorder="1" applyAlignment="1">
      <alignment horizontal="right" vertical="center"/>
    </xf>
    <xf numFmtId="3" fontId="4" fillId="0" borderId="64" xfId="0" applyNumberFormat="1" applyFont="1" applyBorder="1" applyAlignment="1">
      <alignment horizontal="right" vertical="center"/>
    </xf>
    <xf numFmtId="3" fontId="4" fillId="0" borderId="64" xfId="0" applyNumberFormat="1" applyFont="1" applyBorder="1" applyAlignment="1" applyProtection="1">
      <alignment horizontal="right" vertical="center"/>
      <protection locked="0"/>
    </xf>
    <xf numFmtId="3" fontId="4" fillId="0" borderId="60" xfId="0" applyNumberFormat="1" applyFont="1" applyBorder="1" applyAlignment="1" applyProtection="1">
      <alignment horizontal="right" vertical="center"/>
      <protection locked="0"/>
    </xf>
    <xf numFmtId="3" fontId="4" fillId="0" borderId="65" xfId="0" applyNumberFormat="1" applyFont="1" applyBorder="1" applyAlignment="1">
      <alignment horizontal="right" vertical="center"/>
    </xf>
    <xf numFmtId="3" fontId="4" fillId="0" borderId="61" xfId="0" applyNumberFormat="1" applyFont="1" applyBorder="1" applyAlignment="1" applyProtection="1">
      <alignment horizontal="right" vertical="center"/>
      <protection locked="0"/>
    </xf>
    <xf numFmtId="3" fontId="4" fillId="0" borderId="66" xfId="0" applyNumberFormat="1" applyFont="1" applyBorder="1" applyAlignment="1" applyProtection="1">
      <alignment horizontal="right" vertical="center"/>
      <protection locked="0"/>
    </xf>
    <xf numFmtId="3" fontId="4" fillId="0" borderId="59" xfId="0" applyNumberFormat="1" applyFont="1" applyBorder="1" applyAlignment="1">
      <alignment vertical="center"/>
    </xf>
    <xf numFmtId="3" fontId="4" fillId="0" borderId="64" xfId="0" applyNumberFormat="1" applyFont="1" applyBorder="1" applyAlignment="1">
      <alignment vertical="center"/>
    </xf>
    <xf numFmtId="3" fontId="4" fillId="0" borderId="62" xfId="0" applyNumberFormat="1" applyFont="1" applyBorder="1" applyAlignment="1">
      <alignment vertical="center"/>
    </xf>
    <xf numFmtId="3" fontId="4" fillId="0" borderId="61" xfId="0" applyNumberFormat="1" applyFont="1" applyBorder="1" applyAlignment="1">
      <alignment vertical="center"/>
    </xf>
    <xf numFmtId="3" fontId="4" fillId="0" borderId="51" xfId="0" applyNumberFormat="1" applyFont="1" applyBorder="1" applyAlignment="1">
      <alignment vertical="center"/>
    </xf>
    <xf numFmtId="3" fontId="4" fillId="0" borderId="66" xfId="0" applyNumberFormat="1" applyFont="1" applyBorder="1" applyAlignment="1">
      <alignment vertical="center"/>
    </xf>
    <xf numFmtId="0" fontId="0" fillId="0" borderId="0" xfId="0" applyBorder="1" applyAlignment="1">
      <alignment horizontal="center" vertical="center"/>
    </xf>
    <xf numFmtId="1" fontId="9" fillId="2" borderId="52" xfId="0" applyNumberFormat="1" applyFont="1" applyFill="1" applyBorder="1" applyAlignment="1" applyProtection="1">
      <alignment horizontal="center" vertical="center"/>
      <protection locked="0"/>
    </xf>
    <xf numFmtId="0" fontId="13" fillId="0" borderId="14" xfId="0" applyFont="1" applyBorder="1" applyAlignment="1">
      <alignment horizontal="center" vertical="center"/>
    </xf>
    <xf numFmtId="3" fontId="5" fillId="2" borderId="31" xfId="0" applyNumberFormat="1" applyFont="1" applyFill="1" applyBorder="1" applyAlignment="1" applyProtection="1">
      <alignment horizontal="center" vertical="center"/>
      <protection locked="0"/>
    </xf>
    <xf numFmtId="3" fontId="5" fillId="2" borderId="15" xfId="0" applyNumberFormat="1" applyFont="1" applyFill="1" applyBorder="1" applyAlignment="1" applyProtection="1">
      <alignment horizontal="center" vertical="center"/>
      <protection locked="0"/>
    </xf>
    <xf numFmtId="3" fontId="9" fillId="2" borderId="15" xfId="0" applyNumberFormat="1" applyFont="1" applyFill="1" applyBorder="1" applyAlignment="1" applyProtection="1">
      <alignment horizontal="center" vertical="center"/>
      <protection locked="0"/>
    </xf>
    <xf numFmtId="0" fontId="24" fillId="0" borderId="15" xfId="0" applyFont="1" applyBorder="1" applyAlignment="1">
      <alignment horizontal="center" vertical="center"/>
    </xf>
    <xf numFmtId="0" fontId="13" fillId="0" borderId="67" xfId="0" applyFont="1" applyBorder="1" applyAlignment="1">
      <alignment horizontal="center" vertical="center"/>
    </xf>
    <xf numFmtId="3" fontId="4" fillId="2" borderId="64" xfId="0" applyNumberFormat="1" applyFont="1" applyFill="1" applyBorder="1" applyAlignment="1" applyProtection="1">
      <alignment horizontal="right" vertical="center"/>
      <protection locked="0"/>
    </xf>
    <xf numFmtId="3" fontId="1" fillId="2" borderId="0" xfId="0" applyNumberFormat="1" applyFont="1" applyFill="1" applyBorder="1" applyAlignment="1" applyProtection="1">
      <alignment vertical="center"/>
      <protection locked="0"/>
    </xf>
    <xf numFmtId="3" fontId="5" fillId="2" borderId="0" xfId="0" applyNumberFormat="1" applyFont="1" applyFill="1" applyBorder="1" applyAlignment="1" applyProtection="1">
      <alignment vertical="center"/>
      <protection locked="0"/>
    </xf>
    <xf numFmtId="3" fontId="9" fillId="2" borderId="25" xfId="0" applyNumberFormat="1" applyFont="1" applyFill="1" applyBorder="1" applyAlignment="1" applyProtection="1">
      <alignment vertical="center"/>
      <protection locked="0"/>
    </xf>
    <xf numFmtId="3" fontId="4" fillId="2" borderId="10" xfId="0" applyNumberFormat="1" applyFont="1" applyFill="1" applyBorder="1" applyAlignment="1" applyProtection="1">
      <alignment horizontal="right" vertical="center"/>
      <protection locked="0"/>
    </xf>
    <xf numFmtId="3" fontId="4" fillId="2" borderId="50" xfId="0" applyNumberFormat="1" applyFont="1" applyFill="1" applyBorder="1" applyAlignment="1" applyProtection="1">
      <alignment vertical="center"/>
      <protection locked="0"/>
    </xf>
    <xf numFmtId="3" fontId="4" fillId="2" borderId="50" xfId="0" applyNumberFormat="1" applyFont="1" applyFill="1" applyBorder="1" applyAlignment="1">
      <alignment vertical="center"/>
    </xf>
    <xf numFmtId="3" fontId="4" fillId="2" borderId="59" xfId="0" applyNumberFormat="1" applyFont="1" applyFill="1" applyBorder="1" applyAlignment="1" applyProtection="1">
      <alignment vertical="center"/>
      <protection locked="0"/>
    </xf>
    <xf numFmtId="3" fontId="4" fillId="2" borderId="59" xfId="0" applyNumberFormat="1" applyFont="1" applyFill="1" applyBorder="1" applyAlignment="1" applyProtection="1">
      <alignment horizontal="right" vertical="center"/>
      <protection locked="0"/>
    </xf>
    <xf numFmtId="3" fontId="4" fillId="2" borderId="59" xfId="0" applyNumberFormat="1" applyFont="1" applyFill="1" applyBorder="1" applyAlignment="1">
      <alignment vertical="center"/>
    </xf>
    <xf numFmtId="3" fontId="4" fillId="2" borderId="68" xfId="0" applyNumberFormat="1" applyFont="1" applyFill="1" applyBorder="1" applyAlignment="1" applyProtection="1">
      <alignment horizontal="right" vertical="center"/>
      <protection locked="0"/>
    </xf>
    <xf numFmtId="3" fontId="25" fillId="0" borderId="0" xfId="0" applyNumberFormat="1" applyFont="1" applyBorder="1" applyAlignment="1" applyProtection="1">
      <alignment vertical="center"/>
      <protection locked="0"/>
    </xf>
    <xf numFmtId="3" fontId="26" fillId="0" borderId="0" xfId="0" applyNumberFormat="1" applyFont="1" applyBorder="1" applyAlignment="1">
      <alignment vertical="center"/>
    </xf>
    <xf numFmtId="3" fontId="4" fillId="2" borderId="23" xfId="0" applyNumberFormat="1" applyFont="1" applyFill="1" applyBorder="1" applyAlignment="1" applyProtection="1">
      <alignment vertical="center"/>
      <protection locked="0"/>
    </xf>
    <xf numFmtId="3" fontId="4" fillId="2" borderId="60" xfId="0" applyNumberFormat="1" applyFont="1" applyFill="1" applyBorder="1" applyAlignment="1" applyProtection="1">
      <alignment horizontal="right" vertical="center"/>
      <protection locked="0"/>
    </xf>
    <xf numFmtId="3" fontId="4" fillId="2" borderId="61" xfId="0" applyNumberFormat="1" applyFont="1" applyFill="1" applyBorder="1" applyAlignment="1" applyProtection="1">
      <alignment horizontal="right" vertical="center"/>
      <protection locked="0"/>
    </xf>
    <xf numFmtId="0" fontId="0" fillId="0" borderId="13" xfId="0" applyBorder="1" applyAlignment="1">
      <alignment horizontal="center" vertical="center"/>
    </xf>
    <xf numFmtId="3" fontId="4" fillId="2" borderId="46" xfId="0" applyNumberFormat="1" applyFont="1" applyFill="1" applyBorder="1" applyAlignment="1" applyProtection="1">
      <alignment vertical="center"/>
      <protection locked="0"/>
    </xf>
    <xf numFmtId="1" fontId="9" fillId="2" borderId="13" xfId="0" applyNumberFormat="1" applyFont="1" applyFill="1" applyBorder="1" applyAlignment="1" applyProtection="1">
      <alignment horizontal="center" vertical="center"/>
      <protection locked="0"/>
    </xf>
    <xf numFmtId="3" fontId="5" fillId="2" borderId="0" xfId="0" applyNumberFormat="1" applyFont="1" applyFill="1" applyBorder="1" applyAlignment="1" applyProtection="1">
      <alignment horizontal="center" vertical="center"/>
      <protection locked="0"/>
    </xf>
    <xf numFmtId="1" fontId="9" fillId="2" borderId="0" xfId="0" applyNumberFormat="1" applyFont="1" applyFill="1" applyBorder="1" applyAlignment="1" applyProtection="1">
      <alignment horizontal="center" vertical="center"/>
      <protection locked="0"/>
    </xf>
    <xf numFmtId="3" fontId="0" fillId="0" borderId="0" xfId="0" applyNumberFormat="1"/>
    <xf numFmtId="3" fontId="4" fillId="2" borderId="46" xfId="0" applyNumberFormat="1" applyFont="1" applyFill="1" applyBorder="1" applyAlignment="1" applyProtection="1">
      <alignment horizontal="right" vertical="center"/>
      <protection locked="0"/>
    </xf>
    <xf numFmtId="3" fontId="4" fillId="2" borderId="46" xfId="0" applyNumberFormat="1" applyFont="1" applyFill="1" applyBorder="1" applyAlignment="1">
      <alignment vertical="center"/>
    </xf>
    <xf numFmtId="3" fontId="4" fillId="2" borderId="62" xfId="0" applyNumberFormat="1" applyFont="1" applyFill="1" applyBorder="1" applyAlignment="1" applyProtection="1">
      <alignment horizontal="right" vertical="center"/>
      <protection locked="0"/>
    </xf>
    <xf numFmtId="0" fontId="24" fillId="0" borderId="35" xfId="0" applyFont="1" applyBorder="1" applyAlignment="1">
      <alignment horizontal="center"/>
    </xf>
    <xf numFmtId="3" fontId="9" fillId="0" borderId="0" xfId="0" applyNumberFormat="1" applyFont="1" applyBorder="1" applyAlignment="1" applyProtection="1">
      <alignment horizontal="left" vertical="center"/>
      <protection locked="0"/>
    </xf>
    <xf numFmtId="3" fontId="5" fillId="0" borderId="69" xfId="0" applyNumberFormat="1" applyFont="1" applyBorder="1" applyAlignment="1">
      <alignment vertical="center"/>
    </xf>
    <xf numFmtId="3" fontId="5" fillId="0" borderId="70" xfId="0" applyNumberFormat="1" applyFont="1" applyBorder="1" applyAlignment="1" applyProtection="1">
      <alignment horizontal="left" vertical="center"/>
      <protection locked="0"/>
    </xf>
    <xf numFmtId="3" fontId="9" fillId="0" borderId="71" xfId="0" applyNumberFormat="1" applyFont="1" applyBorder="1" applyAlignment="1" applyProtection="1">
      <alignment horizontal="left" vertical="center"/>
      <protection locked="0"/>
    </xf>
    <xf numFmtId="0" fontId="17" fillId="2" borderId="13" xfId="0" applyFont="1" applyFill="1" applyBorder="1" applyAlignment="1">
      <alignment vertical="center"/>
    </xf>
    <xf numFmtId="0" fontId="21" fillId="2" borderId="13" xfId="0" applyFont="1" applyFill="1" applyBorder="1" applyAlignment="1">
      <alignment vertical="center"/>
    </xf>
    <xf numFmtId="3" fontId="5" fillId="0" borderId="28" xfId="0" applyNumberFormat="1" applyFont="1" applyBorder="1" applyAlignment="1" applyProtection="1">
      <alignment horizontal="left" vertical="center"/>
      <protection locked="0"/>
    </xf>
    <xf numFmtId="3" fontId="5" fillId="0" borderId="30" xfId="0" applyNumberFormat="1" applyFont="1" applyBorder="1" applyAlignment="1" applyProtection="1">
      <alignment horizontal="left" vertical="center"/>
      <protection locked="0"/>
    </xf>
    <xf numFmtId="1" fontId="4" fillId="2" borderId="7" xfId="0" applyNumberFormat="1" applyFont="1" applyFill="1" applyBorder="1" applyAlignment="1" applyProtection="1">
      <alignment horizontal="right" vertical="center"/>
      <protection locked="0"/>
    </xf>
    <xf numFmtId="1" fontId="4" fillId="2" borderId="10" xfId="0" applyNumberFormat="1" applyFont="1" applyFill="1" applyBorder="1" applyAlignment="1" applyProtection="1">
      <alignment horizontal="right" vertical="center"/>
      <protection locked="0"/>
    </xf>
    <xf numFmtId="1" fontId="4" fillId="2" borderId="14" xfId="0" applyNumberFormat="1" applyFont="1" applyFill="1" applyBorder="1" applyAlignment="1" applyProtection="1">
      <alignment horizontal="right" vertical="center"/>
      <protection locked="0"/>
    </xf>
    <xf numFmtId="1" fontId="5" fillId="2" borderId="2" xfId="0" applyNumberFormat="1" applyFont="1" applyFill="1" applyBorder="1" applyAlignment="1" applyProtection="1">
      <alignment horizontal="right" vertical="center"/>
      <protection locked="0"/>
    </xf>
    <xf numFmtId="1" fontId="1" fillId="2" borderId="0" xfId="0" applyNumberFormat="1" applyFont="1" applyFill="1" applyAlignment="1" applyProtection="1">
      <alignment horizontal="right" vertical="center"/>
      <protection locked="0"/>
    </xf>
    <xf numFmtId="1" fontId="4" fillId="2" borderId="11" xfId="0" applyNumberFormat="1" applyFont="1" applyFill="1" applyBorder="1" applyAlignment="1" applyProtection="1">
      <alignment horizontal="right" vertical="center"/>
      <protection locked="0"/>
    </xf>
    <xf numFmtId="1" fontId="4" fillId="2" borderId="15" xfId="0" applyNumberFormat="1" applyFont="1" applyFill="1" applyBorder="1" applyAlignment="1" applyProtection="1">
      <alignment horizontal="right" vertical="center"/>
      <protection locked="0"/>
    </xf>
    <xf numFmtId="1" fontId="5" fillId="2" borderId="19" xfId="0" applyNumberFormat="1" applyFont="1" applyFill="1" applyBorder="1" applyAlignment="1" applyProtection="1">
      <alignment horizontal="right" vertical="center"/>
      <protection locked="0"/>
    </xf>
    <xf numFmtId="1" fontId="4" fillId="2" borderId="64" xfId="0" applyNumberFormat="1" applyFont="1" applyFill="1" applyBorder="1" applyAlignment="1" applyProtection="1">
      <alignment horizontal="right" vertical="center"/>
      <protection locked="0"/>
    </xf>
    <xf numFmtId="1" fontId="4" fillId="2" borderId="12" xfId="0" applyNumberFormat="1" applyFont="1" applyFill="1" applyBorder="1" applyAlignment="1" applyProtection="1">
      <alignment horizontal="right" vertical="center"/>
      <protection locked="0"/>
    </xf>
    <xf numFmtId="1" fontId="4" fillId="2" borderId="16" xfId="0" applyNumberFormat="1" applyFont="1" applyFill="1" applyBorder="1" applyAlignment="1" applyProtection="1">
      <alignment horizontal="right" vertical="center"/>
      <protection locked="0"/>
    </xf>
    <xf numFmtId="1" fontId="5" fillId="2" borderId="3" xfId="0" applyNumberFormat="1" applyFont="1" applyFill="1" applyBorder="1" applyAlignment="1" applyProtection="1">
      <alignment horizontal="right" vertical="center"/>
      <protection locked="0"/>
    </xf>
    <xf numFmtId="1" fontId="1" fillId="2" borderId="16" xfId="0" applyNumberFormat="1" applyFont="1" applyFill="1" applyBorder="1" applyAlignment="1" applyProtection="1">
      <alignment horizontal="right" vertical="center"/>
      <protection locked="0"/>
    </xf>
    <xf numFmtId="1" fontId="4" fillId="2" borderId="8" xfId="0" applyNumberFormat="1" applyFont="1" applyFill="1" applyBorder="1" applyAlignment="1" applyProtection="1">
      <alignment horizontal="right" vertical="center"/>
      <protection locked="0"/>
    </xf>
    <xf numFmtId="1" fontId="5" fillId="2" borderId="20" xfId="0" applyNumberFormat="1" applyFont="1" applyFill="1" applyBorder="1" applyAlignment="1" applyProtection="1">
      <alignment horizontal="right" vertical="center"/>
      <protection locked="0"/>
    </xf>
    <xf numFmtId="3" fontId="4" fillId="2" borderId="49" xfId="0" applyNumberFormat="1" applyFont="1" applyFill="1" applyBorder="1" applyAlignment="1" applyProtection="1">
      <alignment horizontal="right" vertical="center"/>
      <protection locked="0"/>
    </xf>
    <xf numFmtId="3" fontId="4" fillId="2" borderId="73" xfId="0" applyNumberFormat="1" applyFont="1" applyFill="1" applyBorder="1" applyAlignment="1" applyProtection="1">
      <alignment horizontal="right" vertical="center"/>
      <protection locked="0"/>
    </xf>
    <xf numFmtId="3" fontId="4" fillId="4" borderId="7" xfId="0" applyNumberFormat="1" applyFont="1" applyFill="1" applyBorder="1" applyAlignment="1" applyProtection="1">
      <alignment vertical="center"/>
      <protection locked="0"/>
    </xf>
    <xf numFmtId="3" fontId="4" fillId="4" borderId="11" xfId="0" applyNumberFormat="1" applyFont="1" applyFill="1" applyBorder="1" applyAlignment="1" applyProtection="1">
      <alignment vertical="center"/>
      <protection locked="0"/>
    </xf>
    <xf numFmtId="3" fontId="4" fillId="4" borderId="11" xfId="0" applyNumberFormat="1" applyFont="1" applyFill="1" applyBorder="1" applyAlignment="1" applyProtection="1">
      <alignment horizontal="right" vertical="center"/>
      <protection locked="0"/>
    </xf>
    <xf numFmtId="3" fontId="4" fillId="4" borderId="59" xfId="0" applyNumberFormat="1" applyFont="1" applyFill="1" applyBorder="1" applyAlignment="1" applyProtection="1">
      <alignment vertical="center"/>
      <protection locked="0"/>
    </xf>
    <xf numFmtId="3" fontId="4" fillId="4" borderId="7" xfId="0" applyNumberFormat="1" applyFont="1" applyFill="1" applyBorder="1" applyAlignment="1">
      <alignment vertical="center"/>
    </xf>
    <xf numFmtId="3" fontId="4" fillId="4" borderId="11" xfId="0" applyNumberFormat="1" applyFont="1" applyFill="1" applyBorder="1" applyAlignment="1">
      <alignment vertical="center"/>
    </xf>
    <xf numFmtId="3" fontId="4" fillId="4" borderId="59" xfId="0" applyNumberFormat="1" applyFont="1" applyFill="1" applyBorder="1" applyAlignment="1">
      <alignment vertical="center"/>
    </xf>
    <xf numFmtId="1" fontId="5" fillId="0" borderId="9" xfId="0" applyNumberFormat="1" applyFont="1" applyBorder="1" applyAlignment="1">
      <alignment vertical="center"/>
    </xf>
    <xf numFmtId="1" fontId="5" fillId="0" borderId="21" xfId="0" applyNumberFormat="1" applyFont="1" applyBorder="1" applyAlignment="1">
      <alignment vertical="center"/>
    </xf>
    <xf numFmtId="1" fontId="5" fillId="0" borderId="44" xfId="0" applyNumberFormat="1" applyFont="1" applyBorder="1" applyAlignment="1" applyProtection="1">
      <alignment horizontal="left" vertical="center"/>
      <protection locked="0"/>
    </xf>
    <xf numFmtId="1" fontId="5" fillId="0" borderId="13" xfId="0" applyNumberFormat="1" applyFont="1" applyBorder="1" applyAlignment="1">
      <alignment vertical="center"/>
    </xf>
    <xf numFmtId="1" fontId="5" fillId="0" borderId="9" xfId="0" applyNumberFormat="1" applyFont="1" applyBorder="1" applyAlignment="1">
      <alignment horizontal="left" vertical="center"/>
    </xf>
    <xf numFmtId="1" fontId="5" fillId="0" borderId="9" xfId="0" applyNumberFormat="1" applyFont="1" applyBorder="1" applyAlignment="1" applyProtection="1">
      <alignment vertical="center"/>
      <protection locked="0"/>
    </xf>
    <xf numFmtId="3" fontId="5" fillId="0" borderId="5" xfId="0" quotePrefix="1" applyNumberFormat="1" applyFont="1" applyBorder="1" applyAlignment="1" applyProtection="1">
      <alignment vertical="center"/>
      <protection locked="0"/>
    </xf>
    <xf numFmtId="49" fontId="5" fillId="0" borderId="13" xfId="0" quotePrefix="1" applyNumberFormat="1" applyFont="1" applyBorder="1" applyAlignment="1" applyProtection="1">
      <alignment vertical="center"/>
      <protection locked="0"/>
    </xf>
    <xf numFmtId="49" fontId="5" fillId="0" borderId="5" xfId="0" applyNumberFormat="1" applyFont="1" applyBorder="1" applyAlignment="1" applyProtection="1">
      <alignment horizontal="left" vertical="center"/>
      <protection locked="0"/>
    </xf>
    <xf numFmtId="49" fontId="4" fillId="0" borderId="13" xfId="0" applyNumberFormat="1" applyFont="1" applyBorder="1" applyAlignment="1">
      <alignment vertical="center"/>
    </xf>
    <xf numFmtId="49" fontId="5" fillId="0" borderId="21" xfId="0" applyNumberFormat="1" applyFont="1" applyBorder="1" applyAlignment="1">
      <alignment vertical="center"/>
    </xf>
    <xf numFmtId="49" fontId="5" fillId="0" borderId="13" xfId="0" applyNumberFormat="1" applyFont="1" applyBorder="1" applyAlignment="1">
      <alignment vertical="center"/>
    </xf>
    <xf numFmtId="49" fontId="5" fillId="0" borderId="9" xfId="0" applyNumberFormat="1" applyFont="1" applyBorder="1" applyAlignment="1">
      <alignment vertical="center"/>
    </xf>
    <xf numFmtId="49" fontId="5" fillId="0" borderId="9" xfId="0" applyNumberFormat="1" applyFont="1" applyBorder="1" applyAlignment="1">
      <alignment horizontal="left" vertical="center"/>
    </xf>
    <xf numFmtId="49" fontId="5" fillId="0" borderId="9" xfId="0" applyNumberFormat="1" applyFont="1" applyBorder="1" applyAlignment="1" applyProtection="1">
      <alignment vertical="center"/>
      <protection locked="0"/>
    </xf>
    <xf numFmtId="49" fontId="5" fillId="0" borderId="29" xfId="0" applyNumberFormat="1" applyFont="1" applyBorder="1" applyAlignment="1">
      <alignment vertical="center"/>
    </xf>
    <xf numFmtId="49" fontId="0" fillId="0" borderId="0" xfId="0" applyNumberFormat="1"/>
    <xf numFmtId="49" fontId="13" fillId="0" borderId="0" xfId="0" applyNumberFormat="1" applyFont="1"/>
    <xf numFmtId="49" fontId="5" fillId="0" borderId="5" xfId="0" applyNumberFormat="1" applyFont="1" applyBorder="1" applyAlignment="1" applyProtection="1">
      <alignment vertical="center"/>
      <protection locked="0"/>
    </xf>
    <xf numFmtId="3" fontId="4" fillId="0" borderId="7" xfId="0" applyNumberFormat="1" applyFont="1" applyBorder="1" applyAlignment="1">
      <alignment vertical="center"/>
    </xf>
    <xf numFmtId="3" fontId="4" fillId="0" borderId="52" xfId="0" applyNumberFormat="1" applyFont="1" applyBorder="1" applyAlignment="1">
      <alignment vertical="center"/>
    </xf>
    <xf numFmtId="3" fontId="4" fillId="0" borderId="62" xfId="0" applyNumberFormat="1" applyFont="1" applyBorder="1" applyAlignment="1">
      <alignment horizontal="right" vertical="center"/>
    </xf>
    <xf numFmtId="3" fontId="5" fillId="0" borderId="74" xfId="0" applyNumberFormat="1" applyFont="1" applyBorder="1" applyAlignment="1">
      <alignment horizontal="center" vertical="center"/>
    </xf>
    <xf numFmtId="49" fontId="5" fillId="2" borderId="5" xfId="0" applyNumberFormat="1" applyFont="1" applyFill="1" applyBorder="1" applyAlignment="1" applyProtection="1">
      <alignment vertical="center"/>
      <protection locked="0"/>
    </xf>
    <xf numFmtId="3" fontId="5" fillId="2" borderId="36" xfId="0" applyNumberFormat="1" applyFont="1" applyFill="1" applyBorder="1" applyAlignment="1" applyProtection="1">
      <alignment vertical="center"/>
      <protection locked="0"/>
    </xf>
    <xf numFmtId="3" fontId="9" fillId="2" borderId="6" xfId="0" applyNumberFormat="1" applyFont="1" applyFill="1" applyBorder="1" applyAlignment="1" applyProtection="1">
      <alignment vertical="center"/>
      <protection locked="0"/>
    </xf>
    <xf numFmtId="3" fontId="5" fillId="2" borderId="9" xfId="0" applyNumberFormat="1" applyFont="1" applyFill="1" applyBorder="1" applyAlignment="1" applyProtection="1">
      <alignment vertical="center"/>
      <protection locked="0"/>
    </xf>
    <xf numFmtId="3" fontId="5" fillId="2" borderId="37" xfId="0" applyNumberFormat="1" applyFont="1" applyFill="1" applyBorder="1" applyAlignment="1" applyProtection="1">
      <alignment vertical="center"/>
      <protection locked="0"/>
    </xf>
    <xf numFmtId="3" fontId="9" fillId="2" borderId="10" xfId="0" applyNumberFormat="1" applyFont="1" applyFill="1" applyBorder="1" applyAlignment="1" applyProtection="1">
      <alignment vertical="center"/>
      <protection locked="0"/>
    </xf>
    <xf numFmtId="3" fontId="5" fillId="2" borderId="47" xfId="0" applyNumberFormat="1" applyFont="1" applyFill="1" applyBorder="1" applyAlignment="1" applyProtection="1">
      <alignment vertical="center"/>
      <protection locked="0"/>
    </xf>
    <xf numFmtId="3" fontId="5" fillId="2" borderId="48" xfId="0" applyNumberFormat="1" applyFont="1" applyFill="1" applyBorder="1" applyAlignment="1" applyProtection="1">
      <alignment vertical="center"/>
      <protection locked="0"/>
    </xf>
    <xf numFmtId="3" fontId="9" fillId="2" borderId="49" xfId="0" applyNumberFormat="1" applyFont="1" applyFill="1" applyBorder="1" applyAlignment="1" applyProtection="1">
      <alignment vertical="center"/>
      <protection locked="0"/>
    </xf>
    <xf numFmtId="3" fontId="5" fillId="2" borderId="69" xfId="0" applyNumberFormat="1" applyFont="1" applyFill="1" applyBorder="1" applyAlignment="1" applyProtection="1">
      <alignment vertical="center"/>
      <protection locked="0"/>
    </xf>
    <xf numFmtId="3" fontId="5" fillId="2" borderId="70" xfId="0" applyNumberFormat="1" applyFont="1" applyFill="1" applyBorder="1" applyAlignment="1" applyProtection="1">
      <alignment vertical="center"/>
      <protection locked="0"/>
    </xf>
    <xf numFmtId="3" fontId="9" fillId="2" borderId="71" xfId="0" applyNumberFormat="1" applyFont="1" applyFill="1" applyBorder="1" applyAlignment="1" applyProtection="1">
      <alignment vertical="center"/>
      <protection locked="0"/>
    </xf>
    <xf numFmtId="49" fontId="5" fillId="2" borderId="75" xfId="0" applyNumberFormat="1" applyFont="1" applyFill="1" applyBorder="1" applyAlignment="1" applyProtection="1">
      <alignment vertical="center"/>
      <protection locked="0"/>
    </xf>
    <xf numFmtId="3" fontId="5" fillId="2" borderId="76" xfId="0" applyNumberFormat="1" applyFont="1" applyFill="1" applyBorder="1" applyAlignment="1" applyProtection="1">
      <alignment vertical="center"/>
      <protection locked="0"/>
    </xf>
    <xf numFmtId="3" fontId="9" fillId="2" borderId="77" xfId="0" applyNumberFormat="1" applyFont="1" applyFill="1" applyBorder="1" applyAlignment="1" applyProtection="1">
      <alignment vertical="center"/>
      <protection locked="0"/>
    </xf>
    <xf numFmtId="49" fontId="5" fillId="2" borderId="43" xfId="0" applyNumberFormat="1" applyFont="1" applyFill="1" applyBorder="1" applyAlignment="1" applyProtection="1">
      <alignment vertical="center"/>
      <protection locked="0"/>
    </xf>
    <xf numFmtId="3" fontId="5" fillId="2" borderId="44" xfId="0" applyNumberFormat="1" applyFont="1" applyFill="1" applyBorder="1" applyAlignment="1" applyProtection="1">
      <alignment vertical="center"/>
      <protection locked="0"/>
    </xf>
    <xf numFmtId="3" fontId="9" fillId="2" borderId="45" xfId="0" applyNumberFormat="1" applyFont="1" applyFill="1" applyBorder="1" applyAlignment="1" applyProtection="1">
      <alignment vertical="center"/>
      <protection locked="0"/>
    </xf>
    <xf numFmtId="49" fontId="5" fillId="2" borderId="9" xfId="0" applyNumberFormat="1" applyFont="1" applyFill="1" applyBorder="1" applyAlignment="1" applyProtection="1">
      <alignment vertical="center"/>
      <protection locked="0"/>
    </xf>
    <xf numFmtId="3" fontId="6" fillId="2" borderId="0" xfId="0" applyNumberFormat="1" applyFont="1" applyFill="1" applyAlignment="1" applyProtection="1">
      <alignment horizontal="fill" vertical="top"/>
      <protection locked="0"/>
    </xf>
    <xf numFmtId="3" fontId="6" fillId="2" borderId="0" xfId="0" applyNumberFormat="1" applyFont="1" applyFill="1" applyAlignment="1" applyProtection="1">
      <alignment horizontal="right" vertical="top"/>
      <protection locked="0"/>
    </xf>
    <xf numFmtId="0" fontId="8" fillId="2" borderId="0" xfId="0" applyNumberFormat="1" applyFont="1" applyFill="1" applyAlignment="1" applyProtection="1">
      <alignment vertical="top"/>
      <protection locked="0"/>
    </xf>
    <xf numFmtId="3" fontId="1" fillId="2" borderId="0" xfId="0" applyNumberFormat="1" applyFont="1" applyFill="1" applyAlignment="1" applyProtection="1">
      <alignment horizontal="fill" vertical="top"/>
      <protection locked="0"/>
    </xf>
    <xf numFmtId="3" fontId="1" fillId="2" borderId="0" xfId="0" applyNumberFormat="1" applyFont="1" applyFill="1" applyAlignment="1" applyProtection="1">
      <alignment vertical="top"/>
      <protection locked="0"/>
    </xf>
    <xf numFmtId="0" fontId="1" fillId="2" borderId="0" xfId="0" applyNumberFormat="1" applyFont="1" applyFill="1" applyAlignment="1">
      <alignment vertical="top"/>
    </xf>
    <xf numFmtId="3" fontId="6" fillId="2" borderId="0" xfId="0" applyNumberFormat="1" applyFont="1" applyFill="1" applyAlignment="1" applyProtection="1">
      <alignment vertical="top"/>
      <protection locked="0"/>
    </xf>
    <xf numFmtId="0" fontId="7" fillId="0" borderId="0" xfId="0" applyFont="1" applyAlignment="1">
      <alignment vertical="top"/>
    </xf>
    <xf numFmtId="3" fontId="4" fillId="0" borderId="0" xfId="0" applyNumberFormat="1" applyFont="1" applyBorder="1" applyAlignment="1">
      <alignment vertical="top"/>
    </xf>
    <xf numFmtId="0" fontId="13" fillId="0" borderId="0" xfId="0" applyFont="1" applyAlignment="1">
      <alignment vertical="top"/>
    </xf>
    <xf numFmtId="3" fontId="4" fillId="0" borderId="0" xfId="0" applyNumberFormat="1" applyFont="1" applyAlignment="1">
      <alignment vertical="top"/>
    </xf>
    <xf numFmtId="3" fontId="6" fillId="0" borderId="0" xfId="0" applyNumberFormat="1" applyFont="1" applyAlignment="1">
      <alignment vertical="top"/>
    </xf>
    <xf numFmtId="3" fontId="8" fillId="0" borderId="0" xfId="0" applyNumberFormat="1" applyFont="1" applyAlignment="1">
      <alignment vertical="top"/>
    </xf>
    <xf numFmtId="3" fontId="4" fillId="0" borderId="78" xfId="0" applyNumberFormat="1" applyFont="1" applyBorder="1" applyAlignment="1">
      <alignment vertical="center"/>
    </xf>
    <xf numFmtId="3" fontId="4" fillId="0" borderId="31" xfId="0" applyNumberFormat="1" applyFont="1" applyBorder="1" applyAlignment="1">
      <alignment vertical="center"/>
    </xf>
    <xf numFmtId="3" fontId="4" fillId="0" borderId="54" xfId="0" applyNumberFormat="1" applyFont="1" applyBorder="1" applyAlignment="1">
      <alignment vertical="center"/>
    </xf>
    <xf numFmtId="3" fontId="4" fillId="0" borderId="32" xfId="0" applyNumberFormat="1" applyFont="1" applyBorder="1" applyAlignment="1">
      <alignment vertical="center"/>
    </xf>
    <xf numFmtId="3" fontId="4" fillId="0" borderId="65" xfId="0" applyNumberFormat="1" applyFont="1" applyBorder="1" applyAlignment="1">
      <alignment vertical="center"/>
    </xf>
    <xf numFmtId="3" fontId="4" fillId="0" borderId="63" xfId="0" applyNumberFormat="1" applyFont="1" applyBorder="1" applyAlignment="1">
      <alignment vertical="center"/>
    </xf>
    <xf numFmtId="3" fontId="29" fillId="0" borderId="0" xfId="0" applyNumberFormat="1" applyFont="1" applyAlignment="1">
      <alignment vertical="center"/>
    </xf>
    <xf numFmtId="3" fontId="9" fillId="2" borderId="0" xfId="0" applyNumberFormat="1" applyFont="1" applyFill="1" applyBorder="1" applyAlignment="1" applyProtection="1">
      <alignment vertical="center"/>
      <protection locked="0"/>
    </xf>
    <xf numFmtId="3" fontId="4" fillId="2" borderId="0" xfId="0" applyNumberFormat="1" applyFont="1" applyFill="1" applyBorder="1" applyAlignment="1">
      <alignment vertical="center"/>
    </xf>
    <xf numFmtId="3" fontId="4" fillId="0" borderId="0" xfId="0" applyNumberFormat="1" applyFont="1" applyBorder="1" applyAlignment="1" applyProtection="1">
      <alignment horizontal="right" vertical="center"/>
      <protection locked="0"/>
    </xf>
    <xf numFmtId="3" fontId="6" fillId="0" borderId="0" xfId="0" applyNumberFormat="1" applyFont="1" applyAlignment="1"/>
    <xf numFmtId="3" fontId="8" fillId="0" borderId="0" xfId="0" applyNumberFormat="1" applyFont="1" applyAlignment="1"/>
    <xf numFmtId="3" fontId="4" fillId="0" borderId="0" xfId="0" applyNumberFormat="1" applyFont="1" applyAlignment="1">
      <alignment horizontal="left"/>
    </xf>
    <xf numFmtId="0" fontId="13" fillId="0" borderId="0" xfId="0" applyNumberFormat="1" applyFont="1" applyAlignment="1"/>
    <xf numFmtId="3" fontId="32" fillId="0" borderId="31" xfId="0" applyNumberFormat="1" applyFont="1" applyBorder="1" applyAlignment="1">
      <alignment horizontal="center" vertical="center"/>
    </xf>
    <xf numFmtId="3" fontId="32" fillId="0" borderId="15" xfId="0" applyNumberFormat="1" applyFont="1" applyBorder="1" applyAlignment="1">
      <alignment horizontal="center" vertical="center"/>
    </xf>
    <xf numFmtId="3" fontId="32" fillId="0" borderId="16" xfId="0" applyNumberFormat="1" applyFont="1" applyBorder="1" applyAlignment="1">
      <alignment horizontal="center" vertical="center"/>
    </xf>
    <xf numFmtId="49" fontId="32" fillId="0" borderId="5" xfId="0" applyNumberFormat="1" applyFont="1" applyBorder="1" applyAlignment="1" applyProtection="1">
      <alignment vertical="center"/>
      <protection locked="0"/>
    </xf>
    <xf numFmtId="3" fontId="32" fillId="0" borderId="36" xfId="0" applyNumberFormat="1" applyFont="1" applyBorder="1" applyAlignment="1" applyProtection="1">
      <alignment vertical="center"/>
      <protection locked="0"/>
    </xf>
    <xf numFmtId="3" fontId="33" fillId="0" borderId="6" xfId="0" applyNumberFormat="1" applyFont="1" applyBorder="1" applyAlignment="1" applyProtection="1">
      <alignment horizontal="left" vertical="center"/>
      <protection locked="0"/>
    </xf>
    <xf numFmtId="49" fontId="32" fillId="0" borderId="9" xfId="0" applyNumberFormat="1" applyFont="1" applyBorder="1" applyAlignment="1">
      <alignment vertical="center"/>
    </xf>
    <xf numFmtId="3" fontId="32" fillId="0" borderId="37" xfId="0" applyNumberFormat="1" applyFont="1" applyBorder="1" applyAlignment="1" applyProtection="1">
      <alignment vertical="center"/>
      <protection locked="0"/>
    </xf>
    <xf numFmtId="3" fontId="33" fillId="0" borderId="10" xfId="0" applyNumberFormat="1" applyFont="1" applyBorder="1" applyAlignment="1" applyProtection="1">
      <alignment horizontal="left" vertical="center"/>
      <protection locked="0"/>
    </xf>
    <xf numFmtId="3" fontId="32" fillId="0" borderId="37" xfId="0" applyNumberFormat="1" applyFont="1" applyBorder="1" applyAlignment="1" applyProtection="1">
      <alignment horizontal="left" vertical="center"/>
      <protection locked="0"/>
    </xf>
    <xf numFmtId="49" fontId="32" fillId="0" borderId="21" xfId="0" applyNumberFormat="1" applyFont="1" applyBorder="1" applyAlignment="1">
      <alignment vertical="center"/>
    </xf>
    <xf numFmtId="3" fontId="32" fillId="0" borderId="25" xfId="0" applyNumberFormat="1" applyFont="1" applyBorder="1" applyAlignment="1" applyProtection="1">
      <alignment horizontal="left" vertical="center"/>
      <protection locked="0"/>
    </xf>
    <xf numFmtId="3" fontId="33" fillId="0" borderId="23" xfId="0" applyNumberFormat="1" applyFont="1" applyBorder="1" applyAlignment="1" applyProtection="1">
      <alignment horizontal="left" vertical="center"/>
      <protection locked="0"/>
    </xf>
    <xf numFmtId="3" fontId="33" fillId="0" borderId="6" xfId="0" applyNumberFormat="1" applyFont="1" applyBorder="1" applyAlignment="1" applyProtection="1">
      <alignment vertical="center"/>
      <protection locked="0"/>
    </xf>
    <xf numFmtId="3" fontId="33" fillId="0" borderId="10" xfId="0" applyNumberFormat="1" applyFont="1" applyBorder="1" applyAlignment="1" applyProtection="1">
      <alignment vertical="center"/>
      <protection locked="0"/>
    </xf>
    <xf numFmtId="49" fontId="32" fillId="0" borderId="9" xfId="0" applyNumberFormat="1" applyFont="1" applyBorder="1" applyAlignment="1">
      <alignment horizontal="left" vertical="center"/>
    </xf>
    <xf numFmtId="3" fontId="32" fillId="0" borderId="37" xfId="0" applyNumberFormat="1" applyFont="1" applyBorder="1" applyAlignment="1">
      <alignment vertical="center"/>
    </xf>
    <xf numFmtId="3" fontId="33" fillId="0" borderId="10" xfId="0" applyNumberFormat="1" applyFont="1" applyBorder="1" applyAlignment="1">
      <alignment vertical="center"/>
    </xf>
    <xf numFmtId="49" fontId="32" fillId="0" borderId="9" xfId="0" applyNumberFormat="1" applyFont="1" applyBorder="1" applyAlignment="1" applyProtection="1">
      <alignment vertical="center"/>
      <protection locked="0"/>
    </xf>
    <xf numFmtId="3" fontId="32" fillId="0" borderId="25" xfId="0" applyNumberFormat="1" applyFont="1" applyBorder="1" applyAlignment="1">
      <alignment vertical="center"/>
    </xf>
    <xf numFmtId="3" fontId="33" fillId="0" borderId="23" xfId="0" applyNumberFormat="1" applyFont="1" applyBorder="1" applyAlignment="1">
      <alignment vertical="center"/>
    </xf>
    <xf numFmtId="49" fontId="32" fillId="0" borderId="29" xfId="0" applyNumberFormat="1" applyFont="1" applyBorder="1" applyAlignment="1">
      <alignment vertical="center"/>
    </xf>
    <xf numFmtId="3" fontId="32" fillId="0" borderId="30" xfId="0" applyNumberFormat="1" applyFont="1" applyBorder="1" applyAlignment="1">
      <alignment vertical="center"/>
    </xf>
    <xf numFmtId="3" fontId="33" fillId="0" borderId="56" xfId="0" applyNumberFormat="1" applyFont="1" applyBorder="1" applyAlignment="1">
      <alignment vertical="center"/>
    </xf>
    <xf numFmtId="3" fontId="34" fillId="0" borderId="7" xfId="0" applyNumberFormat="1" applyFont="1" applyBorder="1" applyAlignment="1">
      <alignment horizontal="right" vertical="center"/>
    </xf>
    <xf numFmtId="3" fontId="34" fillId="0" borderId="11" xfId="0" applyNumberFormat="1" applyFont="1" applyBorder="1" applyAlignment="1" applyProtection="1">
      <alignment horizontal="right" vertical="center"/>
      <protection locked="0"/>
    </xf>
    <xf numFmtId="3" fontId="34" fillId="0" borderId="11" xfId="0" applyNumberFormat="1" applyFont="1" applyBorder="1" applyAlignment="1">
      <alignment horizontal="right" vertical="center"/>
    </xf>
    <xf numFmtId="3" fontId="34" fillId="0" borderId="12" xfId="0" applyNumberFormat="1" applyFont="1" applyBorder="1" applyAlignment="1">
      <alignment horizontal="right" vertical="center"/>
    </xf>
    <xf numFmtId="3" fontId="34" fillId="0" borderId="52" xfId="0" applyNumberFormat="1" applyFont="1" applyBorder="1" applyAlignment="1" applyProtection="1">
      <alignment horizontal="right" vertical="center"/>
      <protection locked="0"/>
    </xf>
    <xf numFmtId="3" fontId="34" fillId="0" borderId="52" xfId="0" applyNumberFormat="1" applyFont="1" applyBorder="1" applyAlignment="1">
      <alignment horizontal="right" vertical="center"/>
    </xf>
    <xf numFmtId="3" fontId="34" fillId="0" borderId="26" xfId="0" applyNumberFormat="1" applyFont="1" applyBorder="1" applyAlignment="1">
      <alignment horizontal="right" vertical="center"/>
    </xf>
    <xf numFmtId="3" fontId="34" fillId="0" borderId="46" xfId="0" applyNumberFormat="1" applyFont="1" applyBorder="1" applyAlignment="1">
      <alignment horizontal="right" vertical="center"/>
    </xf>
    <xf numFmtId="3" fontId="34" fillId="0" borderId="42" xfId="0" applyNumberFormat="1" applyFont="1" applyBorder="1" applyAlignment="1">
      <alignment horizontal="right" vertical="center"/>
    </xf>
    <xf numFmtId="3" fontId="34" fillId="0" borderId="32" xfId="0" applyNumberFormat="1" applyFont="1" applyBorder="1" applyAlignment="1">
      <alignment horizontal="right" vertical="center"/>
    </xf>
    <xf numFmtId="3" fontId="34" fillId="0" borderId="79" xfId="0" applyNumberFormat="1" applyFont="1" applyBorder="1" applyAlignment="1">
      <alignment horizontal="right" vertical="center"/>
    </xf>
    <xf numFmtId="0" fontId="13" fillId="0" borderId="0" xfId="0" applyFont="1" applyAlignment="1"/>
    <xf numFmtId="3" fontId="26" fillId="0" borderId="0" xfId="0" applyNumberFormat="1" applyFont="1" applyAlignment="1"/>
    <xf numFmtId="3" fontId="25" fillId="0" borderId="0" xfId="0" applyNumberFormat="1" applyFont="1" applyAlignment="1">
      <alignment horizontal="left"/>
    </xf>
    <xf numFmtId="0" fontId="0" fillId="0" borderId="0" xfId="0" applyAlignment="1">
      <alignment vertical="center"/>
    </xf>
    <xf numFmtId="3" fontId="6" fillId="2" borderId="0" xfId="0" applyNumberFormat="1" applyFont="1" applyFill="1" applyAlignment="1" applyProtection="1">
      <alignment vertical="center"/>
      <protection locked="0"/>
    </xf>
    <xf numFmtId="3" fontId="8" fillId="2" borderId="0" xfId="0" applyNumberFormat="1" applyFont="1" applyFill="1" applyAlignment="1" applyProtection="1">
      <alignment vertical="center"/>
      <protection locked="0"/>
    </xf>
    <xf numFmtId="3" fontId="4" fillId="2" borderId="9" xfId="0" applyNumberFormat="1" applyFont="1" applyFill="1" applyBorder="1" applyAlignment="1" applyProtection="1">
      <alignment horizontal="left" vertical="center" wrapText="1"/>
      <protection locked="0"/>
    </xf>
    <xf numFmtId="3" fontId="4" fillId="2" borderId="10" xfId="0" applyNumberFormat="1" applyFont="1" applyFill="1" applyBorder="1" applyAlignment="1" applyProtection="1">
      <alignment horizontal="left" vertical="center" wrapText="1"/>
      <protection locked="0"/>
    </xf>
    <xf numFmtId="3" fontId="9" fillId="0" borderId="0" xfId="0" applyNumberFormat="1" applyFont="1" applyBorder="1" applyAlignment="1" applyProtection="1">
      <alignment vertical="center"/>
      <protection locked="0"/>
    </xf>
    <xf numFmtId="3" fontId="4" fillId="0" borderId="0" xfId="0" applyNumberFormat="1" applyFont="1" applyBorder="1" applyAlignment="1">
      <alignment horizontal="right" vertical="center"/>
    </xf>
    <xf numFmtId="3" fontId="34" fillId="0" borderId="0" xfId="0" applyNumberFormat="1" applyFont="1" applyBorder="1" applyAlignment="1">
      <alignment horizontal="right" vertical="center"/>
    </xf>
    <xf numFmtId="3" fontId="9" fillId="0" borderId="0" xfId="0" applyNumberFormat="1" applyFont="1" applyBorder="1" applyAlignment="1">
      <alignment vertical="center"/>
    </xf>
    <xf numFmtId="3" fontId="35" fillId="0" borderId="0" xfId="0" applyNumberFormat="1" applyFont="1" applyAlignment="1">
      <alignment vertical="center"/>
    </xf>
    <xf numFmtId="0" fontId="36" fillId="0" borderId="0" xfId="0" applyFont="1" applyAlignment="1">
      <alignment vertical="center"/>
    </xf>
    <xf numFmtId="49" fontId="35" fillId="0" borderId="0" xfId="0" applyNumberFormat="1" applyFont="1" applyAlignment="1">
      <alignment vertical="center"/>
    </xf>
    <xf numFmtId="3" fontId="37" fillId="0" borderId="0" xfId="0" applyNumberFormat="1" applyFont="1" applyAlignment="1">
      <alignment vertical="center"/>
    </xf>
    <xf numFmtId="1" fontId="5" fillId="2" borderId="0" xfId="0" applyNumberFormat="1" applyFont="1" applyFill="1" applyBorder="1" applyAlignment="1" applyProtection="1">
      <alignment horizontal="right" vertical="center"/>
      <protection locked="0"/>
    </xf>
    <xf numFmtId="3" fontId="6" fillId="2" borderId="0" xfId="0" applyNumberFormat="1" applyFont="1" applyFill="1" applyBorder="1" applyAlignment="1" applyProtection="1">
      <alignment vertical="center"/>
      <protection locked="0"/>
    </xf>
    <xf numFmtId="3" fontId="8" fillId="2" borderId="0" xfId="0" applyNumberFormat="1" applyFont="1" applyFill="1" applyBorder="1" applyAlignment="1" applyProtection="1">
      <alignment vertical="center"/>
      <protection locked="0"/>
    </xf>
    <xf numFmtId="3" fontId="4" fillId="0" borderId="16" xfId="1" applyNumberFormat="1" applyFont="1" applyBorder="1" applyAlignment="1">
      <alignment horizontal="right" vertical="center"/>
    </xf>
    <xf numFmtId="3" fontId="4" fillId="0" borderId="51" xfId="1" applyNumberFormat="1" applyFont="1" applyBorder="1" applyAlignment="1" applyProtection="1">
      <alignment horizontal="right" vertical="center"/>
      <protection locked="0"/>
    </xf>
    <xf numFmtId="3" fontId="4" fillId="0" borderId="11" xfId="1" applyNumberFormat="1" applyFont="1" applyBorder="1" applyAlignment="1" applyProtection="1">
      <alignment horizontal="right" vertical="center"/>
      <protection locked="0"/>
    </xf>
    <xf numFmtId="3" fontId="4" fillId="0" borderId="82" xfId="1" applyNumberFormat="1" applyFont="1" applyBorder="1" applyAlignment="1" applyProtection="1">
      <alignment horizontal="right" vertical="center"/>
      <protection locked="0"/>
    </xf>
    <xf numFmtId="3" fontId="4" fillId="0" borderId="82" xfId="1" applyNumberFormat="1" applyFont="1" applyBorder="1" applyAlignment="1">
      <alignment vertical="center"/>
    </xf>
    <xf numFmtId="3" fontId="4" fillId="0" borderId="83" xfId="1" applyNumberFormat="1" applyFont="1" applyBorder="1" applyAlignment="1">
      <alignment vertical="center"/>
    </xf>
    <xf numFmtId="3" fontId="4" fillId="0" borderId="66" xfId="1" applyNumberFormat="1" applyFont="1" applyBorder="1" applyAlignment="1" applyProtection="1">
      <alignment horizontal="right" vertical="center"/>
      <protection locked="0"/>
    </xf>
    <xf numFmtId="3" fontId="4" fillId="2" borderId="51" xfId="1" applyNumberFormat="1" applyFont="1" applyFill="1" applyBorder="1" applyAlignment="1" applyProtection="1">
      <alignment vertical="center"/>
      <protection locked="0"/>
    </xf>
    <xf numFmtId="3" fontId="4" fillId="2" borderId="51" xfId="1" applyNumberFormat="1" applyFont="1" applyFill="1" applyBorder="1" applyAlignment="1" applyProtection="1">
      <alignment horizontal="right" vertical="center"/>
      <protection locked="0"/>
    </xf>
    <xf numFmtId="3" fontId="4" fillId="2" borderId="51" xfId="1" applyNumberFormat="1" applyFont="1" applyFill="1" applyBorder="1" applyAlignment="1">
      <alignment vertical="center"/>
    </xf>
    <xf numFmtId="3" fontId="4" fillId="0" borderId="60" xfId="1" applyNumberFormat="1" applyFont="1" applyBorder="1" applyAlignment="1" applyProtection="1">
      <alignment horizontal="right" vertical="center"/>
      <protection locked="0"/>
    </xf>
    <xf numFmtId="1" fontId="24" fillId="0" borderId="78" xfId="0" applyNumberFormat="1" applyFont="1" applyBorder="1" applyAlignment="1" applyProtection="1">
      <alignment horizontal="left" vertical="center"/>
      <protection locked="0"/>
    </xf>
    <xf numFmtId="0" fontId="38" fillId="0" borderId="0" xfId="0" applyFont="1"/>
    <xf numFmtId="49" fontId="38" fillId="0" borderId="0" xfId="0" applyNumberFormat="1" applyFont="1"/>
    <xf numFmtId="3" fontId="3" fillId="0" borderId="0" xfId="0" applyNumberFormat="1" applyFont="1" applyAlignment="1">
      <alignment vertical="center"/>
    </xf>
    <xf numFmtId="0" fontId="39" fillId="0" borderId="0" xfId="0" applyFont="1"/>
    <xf numFmtId="0" fontId="31" fillId="0" borderId="0" xfId="0" applyFont="1"/>
    <xf numFmtId="3" fontId="40" fillId="2" borderId="0" xfId="0" applyNumberFormat="1" applyFont="1" applyFill="1" applyBorder="1" applyAlignment="1" applyProtection="1">
      <alignment vertical="center"/>
      <protection locked="0"/>
    </xf>
    <xf numFmtId="1" fontId="40" fillId="2" borderId="0" xfId="0" applyNumberFormat="1" applyFont="1" applyFill="1" applyBorder="1" applyAlignment="1" applyProtection="1">
      <alignment horizontal="right" vertical="center"/>
      <protection locked="0"/>
    </xf>
    <xf numFmtId="0" fontId="22" fillId="0" borderId="0" xfId="0" applyFont="1" applyBorder="1"/>
    <xf numFmtId="3" fontId="40" fillId="0" borderId="0" xfId="0" applyNumberFormat="1" applyFont="1" applyBorder="1" applyAlignment="1" applyProtection="1">
      <alignment vertical="center"/>
      <protection locked="0"/>
    </xf>
    <xf numFmtId="3" fontId="41" fillId="0" borderId="0" xfId="0" applyNumberFormat="1" applyFont="1" applyBorder="1" applyAlignment="1" applyProtection="1">
      <alignment vertical="center"/>
      <protection locked="0"/>
    </xf>
    <xf numFmtId="3" fontId="6" fillId="0" borderId="0" xfId="0" applyNumberFormat="1" applyFont="1" applyBorder="1" applyAlignment="1" applyProtection="1">
      <alignment horizontal="right" vertical="center"/>
      <protection locked="0"/>
    </xf>
    <xf numFmtId="3" fontId="6" fillId="0" borderId="0" xfId="0" applyNumberFormat="1" applyFont="1" applyBorder="1" applyAlignment="1">
      <alignment horizontal="right" vertical="center"/>
    </xf>
    <xf numFmtId="3" fontId="6" fillId="0" borderId="0" xfId="0" applyNumberFormat="1" applyFont="1" applyBorder="1" applyAlignment="1">
      <alignment vertical="top"/>
    </xf>
    <xf numFmtId="0" fontId="22" fillId="0" borderId="0" xfId="0" applyFont="1" applyAlignment="1">
      <alignment vertical="top"/>
    </xf>
    <xf numFmtId="3" fontId="6" fillId="0" borderId="0" xfId="0" applyNumberFormat="1" applyFont="1" applyAlignment="1">
      <alignment horizontal="left"/>
    </xf>
    <xf numFmtId="0" fontId="39" fillId="0" borderId="0" xfId="0" applyFont="1" applyAlignment="1">
      <alignment vertical="center"/>
    </xf>
    <xf numFmtId="0" fontId="42" fillId="0" borderId="0" xfId="0" applyFont="1"/>
    <xf numFmtId="3" fontId="4" fillId="0" borderId="11" xfId="0" applyNumberFormat="1" applyFont="1" applyBorder="1" applyAlignment="1">
      <alignment vertical="center"/>
    </xf>
    <xf numFmtId="3" fontId="4" fillId="0" borderId="60" xfId="0" applyNumberFormat="1" applyFont="1" applyBorder="1" applyAlignment="1">
      <alignment vertical="center"/>
    </xf>
    <xf numFmtId="3" fontId="5" fillId="0" borderId="56" xfId="0" applyNumberFormat="1" applyFont="1" applyBorder="1" applyAlignment="1">
      <alignment vertical="center"/>
    </xf>
    <xf numFmtId="3" fontId="5" fillId="0" borderId="15" xfId="0" applyNumberFormat="1" applyFont="1" applyBorder="1" applyAlignment="1">
      <alignment horizontal="left" vertical="top"/>
    </xf>
    <xf numFmtId="3" fontId="9" fillId="0" borderId="15" xfId="0" applyNumberFormat="1" applyFont="1" applyBorder="1" applyAlignment="1">
      <alignment horizontal="left" vertical="top"/>
    </xf>
    <xf numFmtId="3" fontId="5" fillId="0" borderId="14" xfId="0" applyNumberFormat="1" applyFont="1" applyBorder="1" applyAlignment="1">
      <alignment horizontal="left" vertical="top"/>
    </xf>
    <xf numFmtId="3" fontId="43" fillId="0" borderId="22" xfId="0" applyNumberFormat="1" applyFont="1" applyBorder="1" applyAlignment="1">
      <alignment vertical="center"/>
    </xf>
    <xf numFmtId="3" fontId="43" fillId="0" borderId="23" xfId="0" applyNumberFormat="1" applyFont="1" applyBorder="1" applyAlignment="1">
      <alignment vertical="center"/>
    </xf>
    <xf numFmtId="3" fontId="43" fillId="0" borderId="62" xfId="0" applyNumberFormat="1" applyFont="1" applyBorder="1" applyAlignment="1">
      <alignment vertical="center"/>
    </xf>
    <xf numFmtId="49" fontId="32" fillId="0" borderId="13" xfId="0" applyNumberFormat="1" applyFont="1" applyBorder="1" applyAlignment="1">
      <alignment horizontal="left" vertical="center"/>
    </xf>
    <xf numFmtId="3" fontId="34" fillId="0" borderId="62" xfId="0" applyNumberFormat="1" applyFont="1" applyBorder="1" applyAlignment="1">
      <alignment horizontal="right" vertical="center"/>
    </xf>
    <xf numFmtId="0" fontId="13" fillId="0" borderId="26" xfId="0" applyFont="1" applyBorder="1" applyAlignment="1">
      <alignment horizontal="center" vertical="center"/>
    </xf>
    <xf numFmtId="3" fontId="3" fillId="2" borderId="72" xfId="0" applyNumberFormat="1" applyFont="1" applyFill="1" applyBorder="1" applyAlignment="1" applyProtection="1">
      <alignment vertical="center"/>
      <protection locked="0"/>
    </xf>
    <xf numFmtId="0" fontId="13" fillId="0" borderId="16" xfId="0" applyFont="1" applyBorder="1" applyAlignment="1">
      <alignment horizontal="center" vertical="center"/>
    </xf>
    <xf numFmtId="3" fontId="5" fillId="2" borderId="14" xfId="0" applyNumberFormat="1" applyFont="1" applyFill="1" applyBorder="1" applyAlignment="1" applyProtection="1">
      <alignment horizontal="center" vertical="center"/>
      <protection locked="0"/>
    </xf>
    <xf numFmtId="0" fontId="13" fillId="0" borderId="15" xfId="0" applyFont="1" applyBorder="1" applyAlignment="1">
      <alignment horizontal="center" vertical="center"/>
    </xf>
    <xf numFmtId="3" fontId="5" fillId="2" borderId="67" xfId="0" applyNumberFormat="1" applyFont="1" applyFill="1" applyBorder="1" applyAlignment="1" applyProtection="1">
      <alignment horizontal="center" vertical="center"/>
      <protection locked="0"/>
    </xf>
    <xf numFmtId="0" fontId="0" fillId="0" borderId="15" xfId="0" applyBorder="1"/>
    <xf numFmtId="3" fontId="4" fillId="0" borderId="67" xfId="0" applyNumberFormat="1" applyFont="1" applyBorder="1" applyAlignment="1">
      <alignment vertical="center"/>
    </xf>
    <xf numFmtId="0" fontId="11" fillId="0" borderId="28" xfId="0" applyFont="1" applyBorder="1" applyAlignment="1">
      <alignment vertical="center"/>
    </xf>
    <xf numFmtId="0" fontId="11" fillId="0" borderId="22" xfId="0" applyFont="1" applyBorder="1" applyAlignment="1">
      <alignment vertical="center"/>
    </xf>
    <xf numFmtId="0" fontId="11" fillId="0" borderId="0" xfId="0" applyFont="1" applyBorder="1" applyAlignment="1">
      <alignment vertical="center"/>
    </xf>
    <xf numFmtId="0" fontId="11" fillId="0" borderId="16" xfId="0" applyFont="1" applyBorder="1" applyAlignment="1">
      <alignment vertical="center"/>
    </xf>
    <xf numFmtId="0" fontId="0" fillId="0" borderId="0" xfId="0" applyBorder="1" applyAlignment="1">
      <alignment vertical="center"/>
    </xf>
    <xf numFmtId="3" fontId="4" fillId="2" borderId="81" xfId="0" applyNumberFormat="1" applyFont="1" applyFill="1" applyBorder="1" applyAlignment="1" applyProtection="1">
      <alignment horizontal="right" vertical="center"/>
      <protection locked="0"/>
    </xf>
    <xf numFmtId="1" fontId="9" fillId="2" borderId="54" xfId="0" applyNumberFormat="1" applyFont="1" applyFill="1" applyBorder="1" applyAlignment="1" applyProtection="1">
      <alignment horizontal="center" vertical="center"/>
      <protection locked="0"/>
    </xf>
    <xf numFmtId="0" fontId="1" fillId="2" borderId="25" xfId="0" applyNumberFormat="1" applyFont="1" applyFill="1" applyBorder="1" applyAlignment="1"/>
    <xf numFmtId="3" fontId="45" fillId="0" borderId="27" xfId="0" applyNumberFormat="1" applyFont="1" applyFill="1" applyBorder="1" applyAlignment="1" applyProtection="1">
      <alignment vertical="center"/>
      <protection locked="0"/>
    </xf>
    <xf numFmtId="3" fontId="45" fillId="0" borderId="28" xfId="0" applyNumberFormat="1" applyFont="1" applyFill="1" applyBorder="1" applyAlignment="1" applyProtection="1">
      <alignment vertical="center"/>
      <protection locked="0"/>
    </xf>
    <xf numFmtId="3" fontId="45" fillId="0" borderId="33" xfId="0" applyNumberFormat="1" applyFont="1" applyFill="1" applyBorder="1" applyAlignment="1" applyProtection="1">
      <alignment vertical="center"/>
      <protection locked="0"/>
    </xf>
    <xf numFmtId="3" fontId="45" fillId="0" borderId="13" xfId="0" applyNumberFormat="1" applyFont="1" applyFill="1" applyBorder="1" applyAlignment="1" applyProtection="1">
      <alignment vertical="center"/>
      <protection locked="0"/>
    </xf>
    <xf numFmtId="3" fontId="45" fillId="0" borderId="0" xfId="0" applyNumberFormat="1" applyFont="1" applyFill="1" applyBorder="1" applyAlignment="1" applyProtection="1">
      <alignment vertical="center"/>
      <protection locked="0"/>
    </xf>
    <xf numFmtId="3" fontId="45" fillId="0" borderId="16" xfId="0" applyNumberFormat="1" applyFont="1" applyFill="1" applyBorder="1" applyAlignment="1" applyProtection="1">
      <alignment vertical="center"/>
      <protection locked="0"/>
    </xf>
    <xf numFmtId="3" fontId="45" fillId="0" borderId="29" xfId="0" applyNumberFormat="1" applyFont="1" applyFill="1" applyBorder="1" applyAlignment="1" applyProtection="1">
      <alignment vertical="center"/>
      <protection locked="0"/>
    </xf>
    <xf numFmtId="3" fontId="45" fillId="0" borderId="30" xfId="0" applyNumberFormat="1" applyFont="1" applyFill="1" applyBorder="1" applyAlignment="1" applyProtection="1">
      <alignment vertical="center"/>
      <protection locked="0"/>
    </xf>
    <xf numFmtId="3" fontId="45" fillId="0" borderId="79" xfId="0" applyNumberFormat="1" applyFont="1" applyFill="1" applyBorder="1" applyAlignment="1" applyProtection="1">
      <alignment vertical="center"/>
      <protection locked="0"/>
    </xf>
    <xf numFmtId="3" fontId="45" fillId="6" borderId="27" xfId="0" applyNumberFormat="1" applyFont="1" applyFill="1" applyBorder="1" applyAlignment="1" applyProtection="1">
      <alignment vertical="center"/>
      <protection locked="0"/>
    </xf>
    <xf numFmtId="3" fontId="45" fillId="6" borderId="28" xfId="0" applyNumberFormat="1" applyFont="1" applyFill="1" applyBorder="1" applyAlignment="1" applyProtection="1">
      <alignment vertical="center"/>
      <protection locked="0"/>
    </xf>
    <xf numFmtId="3" fontId="45" fillId="6" borderId="33" xfId="0" applyNumberFormat="1" applyFont="1" applyFill="1" applyBorder="1" applyAlignment="1" applyProtection="1">
      <alignment vertical="center"/>
      <protection locked="0"/>
    </xf>
    <xf numFmtId="3" fontId="45" fillId="6" borderId="13" xfId="0" applyNumberFormat="1" applyFont="1" applyFill="1" applyBorder="1" applyAlignment="1" applyProtection="1">
      <alignment vertical="center"/>
      <protection locked="0"/>
    </xf>
    <xf numFmtId="3" fontId="45" fillId="6" borderId="0" xfId="0" applyNumberFormat="1" applyFont="1" applyFill="1" applyBorder="1" applyAlignment="1" applyProtection="1">
      <alignment vertical="center"/>
      <protection locked="0"/>
    </xf>
    <xf numFmtId="3" fontId="45" fillId="6" borderId="16" xfId="0" applyNumberFormat="1" applyFont="1" applyFill="1" applyBorder="1" applyAlignment="1" applyProtection="1">
      <alignment vertical="center"/>
      <protection locked="0"/>
    </xf>
    <xf numFmtId="3" fontId="45" fillId="6" borderId="29" xfId="0" applyNumberFormat="1" applyFont="1" applyFill="1" applyBorder="1" applyAlignment="1" applyProtection="1">
      <alignment vertical="center"/>
      <protection locked="0"/>
    </xf>
    <xf numFmtId="3" fontId="45" fillId="6" borderId="30" xfId="0" applyNumberFormat="1" applyFont="1" applyFill="1" applyBorder="1" applyAlignment="1" applyProtection="1">
      <alignment vertical="center"/>
      <protection locked="0"/>
    </xf>
    <xf numFmtId="3" fontId="45" fillId="6" borderId="79" xfId="0" applyNumberFormat="1" applyFont="1" applyFill="1" applyBorder="1" applyAlignment="1" applyProtection="1">
      <alignment vertical="center"/>
      <protection locked="0"/>
    </xf>
    <xf numFmtId="3" fontId="45" fillId="6" borderId="27" xfId="0" applyNumberFormat="1" applyFont="1" applyFill="1" applyBorder="1" applyAlignment="1">
      <alignment vertical="center"/>
    </xf>
    <xf numFmtId="3" fontId="45" fillId="6" borderId="28" xfId="0" applyNumberFormat="1" applyFont="1" applyFill="1" applyBorder="1" applyAlignment="1">
      <alignment vertical="center"/>
    </xf>
    <xf numFmtId="3" fontId="45" fillId="6" borderId="33" xfId="0" applyNumberFormat="1" applyFont="1" applyFill="1" applyBorder="1" applyAlignment="1">
      <alignment vertical="center"/>
    </xf>
    <xf numFmtId="3" fontId="45" fillId="6" borderId="13" xfId="0" applyNumberFormat="1" applyFont="1" applyFill="1" applyBorder="1" applyAlignment="1">
      <alignment vertical="center"/>
    </xf>
    <xf numFmtId="3" fontId="45" fillId="6" borderId="0" xfId="0" applyNumberFormat="1" applyFont="1" applyFill="1" applyBorder="1" applyAlignment="1">
      <alignment vertical="center"/>
    </xf>
    <xf numFmtId="3" fontId="45" fillId="6" borderId="16" xfId="0" applyNumberFormat="1" applyFont="1" applyFill="1" applyBorder="1" applyAlignment="1">
      <alignment vertical="center"/>
    </xf>
    <xf numFmtId="3" fontId="46" fillId="6" borderId="13" xfId="0" applyNumberFormat="1" applyFont="1" applyFill="1" applyBorder="1" applyAlignment="1">
      <alignment vertical="center"/>
    </xf>
    <xf numFmtId="3" fontId="46" fillId="6" borderId="0" xfId="0" applyNumberFormat="1" applyFont="1" applyFill="1" applyBorder="1" applyAlignment="1">
      <alignment vertical="center"/>
    </xf>
    <xf numFmtId="3" fontId="46" fillId="6" borderId="16" xfId="0" applyNumberFormat="1" applyFont="1" applyFill="1" applyBorder="1" applyAlignment="1">
      <alignment vertical="center"/>
    </xf>
    <xf numFmtId="3" fontId="46" fillId="6" borderId="29" xfId="0" applyNumberFormat="1" applyFont="1" applyFill="1" applyBorder="1" applyAlignment="1">
      <alignment vertical="center"/>
    </xf>
    <xf numFmtId="3" fontId="46" fillId="6" borderId="30" xfId="0" applyNumberFormat="1" applyFont="1" applyFill="1" applyBorder="1" applyAlignment="1">
      <alignment vertical="center"/>
    </xf>
    <xf numFmtId="3" fontId="46" fillId="6" borderId="79" xfId="0" applyNumberFormat="1" applyFont="1" applyFill="1" applyBorder="1" applyAlignment="1">
      <alignment vertical="center"/>
    </xf>
    <xf numFmtId="3" fontId="45" fillId="6" borderId="27" xfId="0" applyNumberFormat="1" applyFont="1" applyFill="1" applyBorder="1" applyAlignment="1"/>
    <xf numFmtId="3" fontId="45" fillId="6" borderId="28" xfId="0" applyNumberFormat="1" applyFont="1" applyFill="1" applyBorder="1" applyAlignment="1"/>
    <xf numFmtId="3" fontId="45" fillId="6" borderId="33" xfId="0" applyNumberFormat="1" applyFont="1" applyFill="1" applyBorder="1" applyAlignment="1"/>
    <xf numFmtId="3" fontId="45" fillId="6" borderId="13" xfId="0" applyNumberFormat="1" applyFont="1" applyFill="1" applyBorder="1" applyAlignment="1"/>
    <xf numFmtId="3" fontId="45" fillId="6" borderId="0" xfId="0" applyNumberFormat="1" applyFont="1" applyFill="1" applyBorder="1" applyAlignment="1"/>
    <xf numFmtId="3" fontId="45" fillId="6" borderId="16" xfId="0" applyNumberFormat="1" applyFont="1" applyFill="1" applyBorder="1" applyAlignment="1"/>
    <xf numFmtId="3" fontId="50" fillId="6" borderId="27" xfId="0" applyNumberFormat="1" applyFont="1" applyFill="1" applyBorder="1" applyAlignment="1">
      <alignment vertical="center"/>
    </xf>
    <xf numFmtId="3" fontId="50" fillId="6" borderId="28" xfId="0" applyNumberFormat="1" applyFont="1" applyFill="1" applyBorder="1" applyAlignment="1">
      <alignment vertical="center"/>
    </xf>
    <xf numFmtId="3" fontId="50" fillId="6" borderId="33" xfId="0" applyNumberFormat="1" applyFont="1" applyFill="1" applyBorder="1" applyAlignment="1">
      <alignment vertical="center"/>
    </xf>
    <xf numFmtId="3" fontId="50" fillId="6" borderId="13" xfId="0" applyNumberFormat="1" applyFont="1" applyFill="1" applyBorder="1" applyAlignment="1">
      <alignment vertical="center"/>
    </xf>
    <xf numFmtId="3" fontId="50" fillId="6" borderId="0" xfId="0" applyNumberFormat="1" applyFont="1" applyFill="1" applyBorder="1" applyAlignment="1">
      <alignment vertical="center"/>
    </xf>
    <xf numFmtId="3" fontId="50" fillId="6" borderId="16" xfId="0" applyNumberFormat="1" applyFont="1" applyFill="1" applyBorder="1" applyAlignment="1">
      <alignment vertical="center"/>
    </xf>
    <xf numFmtId="0" fontId="31" fillId="6" borderId="0" xfId="0" applyFont="1" applyFill="1" applyBorder="1" applyAlignment="1">
      <alignment vertical="center"/>
    </xf>
    <xf numFmtId="0" fontId="31" fillId="6" borderId="16" xfId="0" applyFont="1" applyFill="1" applyBorder="1" applyAlignment="1">
      <alignment vertical="center"/>
    </xf>
    <xf numFmtId="3" fontId="46" fillId="6" borderId="13" xfId="0" applyNumberFormat="1" applyFont="1" applyFill="1" applyBorder="1" applyAlignment="1" applyProtection="1">
      <alignment vertical="center" wrapText="1"/>
      <protection locked="0"/>
    </xf>
    <xf numFmtId="3" fontId="46" fillId="6" borderId="0" xfId="0" applyNumberFormat="1" applyFont="1" applyFill="1" applyBorder="1" applyAlignment="1" applyProtection="1">
      <alignment vertical="center" wrapText="1"/>
      <protection locked="0"/>
    </xf>
    <xf numFmtId="3" fontId="46" fillId="6" borderId="16" xfId="0" applyNumberFormat="1" applyFont="1" applyFill="1" applyBorder="1" applyAlignment="1" applyProtection="1">
      <alignment vertical="center" wrapText="1"/>
      <protection locked="0"/>
    </xf>
    <xf numFmtId="3" fontId="5" fillId="2" borderId="72" xfId="0" applyNumberFormat="1" applyFont="1" applyFill="1" applyBorder="1" applyAlignment="1" applyProtection="1">
      <alignment vertical="center"/>
      <protection locked="0"/>
    </xf>
    <xf numFmtId="0" fontId="14" fillId="0" borderId="0" xfId="0" applyFont="1" applyBorder="1" applyAlignment="1">
      <alignment vertical="center"/>
    </xf>
    <xf numFmtId="0" fontId="14" fillId="0" borderId="14" xfId="0" applyFont="1" applyBorder="1" applyAlignment="1">
      <alignment vertical="center"/>
    </xf>
    <xf numFmtId="0" fontId="14" fillId="0" borderId="16" xfId="0" applyFont="1" applyBorder="1" applyAlignment="1">
      <alignment vertical="center"/>
    </xf>
    <xf numFmtId="3" fontId="9" fillId="2" borderId="55" xfId="0" applyNumberFormat="1" applyFont="1" applyFill="1" applyBorder="1" applyAlignment="1" applyProtection="1">
      <alignment vertical="center"/>
      <protection locked="0"/>
    </xf>
    <xf numFmtId="0" fontId="15" fillId="0" borderId="25" xfId="0" applyFont="1" applyBorder="1" applyAlignment="1">
      <alignment vertical="center"/>
    </xf>
    <xf numFmtId="0" fontId="15" fillId="0" borderId="23" xfId="0" applyFont="1" applyBorder="1" applyAlignment="1">
      <alignment vertical="center"/>
    </xf>
    <xf numFmtId="3" fontId="4" fillId="2" borderId="9" xfId="0" applyNumberFormat="1" applyFont="1" applyFill="1" applyBorder="1" applyAlignment="1" applyProtection="1">
      <alignment vertical="center" wrapText="1"/>
      <protection locked="0"/>
    </xf>
    <xf numFmtId="3" fontId="4" fillId="2" borderId="10" xfId="0" applyNumberFormat="1" applyFont="1" applyFill="1" applyBorder="1" applyAlignment="1" applyProtection="1">
      <alignment vertical="center" wrapText="1"/>
      <protection locked="0"/>
    </xf>
    <xf numFmtId="3" fontId="46" fillId="0" borderId="13" xfId="0" applyNumberFormat="1" applyFont="1" applyFill="1" applyBorder="1" applyAlignment="1" applyProtection="1">
      <alignment vertical="center" wrapText="1"/>
      <protection locked="0"/>
    </xf>
    <xf numFmtId="3" fontId="46" fillId="0" borderId="0" xfId="0" applyNumberFormat="1" applyFont="1" applyFill="1" applyBorder="1" applyAlignment="1" applyProtection="1">
      <alignment vertical="center" wrapText="1"/>
      <protection locked="0"/>
    </xf>
    <xf numFmtId="3" fontId="46" fillId="0" borderId="16" xfId="0" applyNumberFormat="1" applyFont="1" applyFill="1" applyBorder="1" applyAlignment="1" applyProtection="1">
      <alignment vertical="center" wrapText="1"/>
      <protection locked="0"/>
    </xf>
    <xf numFmtId="3" fontId="5" fillId="2" borderId="55" xfId="0" applyNumberFormat="1" applyFont="1" applyFill="1" applyBorder="1" applyAlignment="1" applyProtection="1">
      <alignment vertical="center"/>
      <protection locked="0"/>
    </xf>
    <xf numFmtId="0" fontId="14" fillId="0" borderId="25" xfId="0" applyFont="1" applyBorder="1" applyAlignment="1">
      <alignment vertical="center"/>
    </xf>
    <xf numFmtId="0" fontId="14" fillId="0" borderId="26" xfId="0" applyFont="1" applyBorder="1" applyAlignment="1">
      <alignment vertical="center"/>
    </xf>
    <xf numFmtId="0" fontId="27" fillId="6" borderId="0" xfId="0" applyFont="1" applyFill="1" applyBorder="1" applyAlignment="1">
      <alignment vertical="center"/>
    </xf>
    <xf numFmtId="0" fontId="27" fillId="6" borderId="16" xfId="0" applyFont="1" applyFill="1" applyBorder="1" applyAlignment="1">
      <alignment vertical="center"/>
    </xf>
    <xf numFmtId="0" fontId="28" fillId="6" borderId="30" xfId="0" applyFont="1" applyFill="1" applyBorder="1" applyAlignment="1">
      <alignment vertical="center"/>
    </xf>
    <xf numFmtId="0" fontId="28" fillId="6" borderId="79" xfId="0" applyFont="1" applyFill="1" applyBorder="1" applyAlignment="1">
      <alignment vertical="center"/>
    </xf>
    <xf numFmtId="3" fontId="46" fillId="6" borderId="13" xfId="0" applyNumberFormat="1" applyFont="1" applyFill="1" applyBorder="1" applyAlignment="1"/>
    <xf numFmtId="0" fontId="28" fillId="6" borderId="0" xfId="0" applyFont="1" applyFill="1" applyBorder="1" applyAlignment="1"/>
    <xf numFmtId="0" fontId="28" fillId="6" borderId="16" xfId="0" applyFont="1" applyFill="1" applyBorder="1" applyAlignment="1"/>
    <xf numFmtId="3" fontId="46" fillId="6" borderId="29" xfId="0" applyNumberFormat="1" applyFont="1" applyFill="1" applyBorder="1" applyAlignment="1"/>
    <xf numFmtId="0" fontId="28" fillId="6" borderId="30" xfId="0" applyFont="1" applyFill="1" applyBorder="1" applyAlignment="1"/>
    <xf numFmtId="0" fontId="28" fillId="6" borderId="79" xfId="0" applyFont="1" applyFill="1" applyBorder="1" applyAlignment="1"/>
    <xf numFmtId="0" fontId="48" fillId="6" borderId="0" xfId="0" applyFont="1" applyFill="1" applyBorder="1" applyAlignment="1">
      <alignment vertical="center"/>
    </xf>
    <xf numFmtId="0" fontId="48" fillId="6" borderId="16" xfId="0" applyFont="1" applyFill="1" applyBorder="1" applyAlignment="1">
      <alignment vertical="center"/>
    </xf>
    <xf numFmtId="0" fontId="49" fillId="6" borderId="30" xfId="0" applyFont="1" applyFill="1" applyBorder="1" applyAlignment="1">
      <alignment vertical="center"/>
    </xf>
    <xf numFmtId="0" fontId="49" fillId="6" borderId="79" xfId="0" applyFont="1" applyFill="1" applyBorder="1" applyAlignment="1">
      <alignment vertical="center"/>
    </xf>
    <xf numFmtId="3" fontId="5" fillId="0" borderId="35" xfId="0" applyNumberFormat="1" applyFont="1" applyBorder="1" applyAlignment="1">
      <alignment vertical="center" wrapText="1"/>
    </xf>
    <xf numFmtId="3" fontId="5" fillId="0" borderId="52" xfId="0" applyNumberFormat="1" applyFont="1" applyBorder="1" applyAlignment="1">
      <alignment vertical="center" wrapText="1"/>
    </xf>
    <xf numFmtId="3" fontId="43" fillId="0" borderId="35" xfId="0" applyNumberFormat="1" applyFont="1" applyBorder="1" applyAlignment="1">
      <alignment vertical="center" wrapText="1"/>
    </xf>
    <xf numFmtId="3" fontId="43" fillId="0" borderId="52" xfId="0" applyNumberFormat="1" applyFont="1" applyBorder="1" applyAlignment="1">
      <alignment vertical="center" wrapText="1"/>
    </xf>
    <xf numFmtId="3" fontId="32" fillId="0" borderId="80" xfId="0" applyNumberFormat="1" applyFont="1" applyBorder="1" applyAlignment="1">
      <alignment vertical="center"/>
    </xf>
    <xf numFmtId="3" fontId="32" fillId="0" borderId="0" xfId="0" applyNumberFormat="1" applyFont="1" applyBorder="1" applyAlignment="1">
      <alignment vertical="center"/>
    </xf>
    <xf numFmtId="3" fontId="32" fillId="0" borderId="72" xfId="0" applyNumberFormat="1" applyFont="1" applyBorder="1" applyAlignment="1">
      <alignment vertical="center"/>
    </xf>
    <xf numFmtId="3" fontId="32" fillId="0" borderId="14" xfId="0" applyNumberFormat="1" applyFont="1" applyBorder="1" applyAlignment="1">
      <alignment vertical="center"/>
    </xf>
    <xf numFmtId="3" fontId="33" fillId="0" borderId="72" xfId="0" applyNumberFormat="1" applyFont="1" applyBorder="1" applyAlignment="1">
      <alignment vertical="center"/>
    </xf>
    <xf numFmtId="3" fontId="33" fillId="0" borderId="0" xfId="0" applyNumberFormat="1" applyFont="1" applyBorder="1" applyAlignment="1">
      <alignment vertical="center"/>
    </xf>
    <xf numFmtId="3" fontId="33" fillId="0" borderId="16" xfId="0" applyNumberFormat="1" applyFont="1" applyBorder="1" applyAlignment="1">
      <alignment vertical="center"/>
    </xf>
    <xf numFmtId="3" fontId="33" fillId="0" borderId="55" xfId="0" applyNumberFormat="1" applyFont="1" applyBorder="1" applyAlignment="1">
      <alignment vertical="center"/>
    </xf>
    <xf numFmtId="3" fontId="33" fillId="0" borderId="25" xfId="0" applyNumberFormat="1" applyFont="1" applyBorder="1" applyAlignment="1">
      <alignment vertical="center"/>
    </xf>
    <xf numFmtId="3" fontId="33" fillId="0" borderId="26" xfId="0" applyNumberFormat="1" applyFont="1" applyBorder="1" applyAlignment="1">
      <alignment vertical="center"/>
    </xf>
    <xf numFmtId="3" fontId="46" fillId="6" borderId="13" xfId="0" applyNumberFormat="1" applyFont="1" applyFill="1" applyBorder="1" applyAlignment="1" applyProtection="1">
      <alignment vertical="center"/>
      <protection locked="0"/>
    </xf>
    <xf numFmtId="3" fontId="46" fillId="6" borderId="0" xfId="0" applyNumberFormat="1" applyFont="1" applyFill="1" applyBorder="1" applyAlignment="1" applyProtection="1">
      <alignment vertical="center"/>
      <protection locked="0"/>
    </xf>
    <xf numFmtId="0" fontId="28" fillId="6" borderId="0" xfId="0" applyFont="1" applyFill="1" applyBorder="1" applyAlignment="1">
      <alignment vertical="center"/>
    </xf>
    <xf numFmtId="0" fontId="28" fillId="6" borderId="16" xfId="0" applyFont="1" applyFill="1" applyBorder="1" applyAlignment="1">
      <alignment vertical="center"/>
    </xf>
    <xf numFmtId="3" fontId="46" fillId="6" borderId="29" xfId="0" applyNumberFormat="1" applyFont="1" applyFill="1" applyBorder="1" applyAlignment="1" applyProtection="1">
      <alignment vertical="center"/>
      <protection locked="0"/>
    </xf>
    <xf numFmtId="3" fontId="46" fillId="6" borderId="30" xfId="0" applyNumberFormat="1" applyFont="1" applyFill="1" applyBorder="1" applyAlignment="1" applyProtection="1">
      <alignment vertical="center"/>
      <protection locked="0"/>
    </xf>
    <xf numFmtId="0" fontId="27" fillId="6" borderId="30" xfId="0" applyFont="1" applyFill="1" applyBorder="1" applyAlignment="1">
      <alignment vertical="center"/>
    </xf>
    <xf numFmtId="0" fontId="27" fillId="6" borderId="79" xfId="0" applyFont="1" applyFill="1" applyBorder="1" applyAlignment="1">
      <alignment vertical="center"/>
    </xf>
    <xf numFmtId="0" fontId="0" fillId="0" borderId="14" xfId="0" applyBorder="1" applyAlignment="1">
      <alignment vertical="center"/>
    </xf>
    <xf numFmtId="3" fontId="9" fillId="2" borderId="55" xfId="0" applyNumberFormat="1" applyFont="1" applyFill="1" applyBorder="1" applyAlignment="1" applyProtection="1">
      <alignment vertical="center" wrapText="1"/>
      <protection locked="0"/>
    </xf>
    <xf numFmtId="0" fontId="15" fillId="0" borderId="25" xfId="0" applyFont="1" applyBorder="1" applyAlignment="1">
      <alignment vertical="center" wrapText="1"/>
    </xf>
    <xf numFmtId="0" fontId="15" fillId="0" borderId="23" xfId="0" applyFont="1" applyBorder="1" applyAlignment="1">
      <alignment vertical="center" wrapText="1"/>
    </xf>
    <xf numFmtId="3" fontId="46" fillId="6" borderId="29" xfId="0" applyNumberFormat="1" applyFont="1" applyFill="1" applyBorder="1" applyAlignment="1">
      <alignment vertical="center" wrapText="1"/>
    </xf>
    <xf numFmtId="0" fontId="28" fillId="6" borderId="30" xfId="0" applyFont="1" applyFill="1" applyBorder="1" applyAlignment="1">
      <alignment vertical="center" wrapText="1"/>
    </xf>
    <xf numFmtId="0" fontId="28" fillId="6" borderId="79" xfId="0" applyFont="1" applyFill="1" applyBorder="1" applyAlignment="1">
      <alignment vertical="center" wrapText="1"/>
    </xf>
    <xf numFmtId="0" fontId="31" fillId="6" borderId="30" xfId="0" applyFont="1" applyFill="1" applyBorder="1" applyAlignment="1">
      <alignment vertical="center"/>
    </xf>
    <xf numFmtId="0" fontId="31" fillId="6" borderId="79" xfId="0" applyFont="1" applyFill="1" applyBorder="1" applyAlignment="1">
      <alignment vertical="center"/>
    </xf>
    <xf numFmtId="3" fontId="52" fillId="6" borderId="29" xfId="0" applyNumberFormat="1" applyFont="1" applyFill="1" applyBorder="1" applyAlignment="1">
      <alignment vertical="center"/>
    </xf>
    <xf numFmtId="3" fontId="5" fillId="2" borderId="80" xfId="0" applyNumberFormat="1" applyFont="1" applyFill="1" applyBorder="1" applyAlignment="1" applyProtection="1">
      <alignment vertical="center"/>
      <protection locked="0"/>
    </xf>
    <xf numFmtId="0" fontId="14" fillId="0" borderId="28" xfId="0" applyFont="1" applyBorder="1" applyAlignment="1">
      <alignment vertical="center"/>
    </xf>
    <xf numFmtId="0" fontId="14" fillId="0" borderId="33" xfId="0" applyFont="1" applyBorder="1" applyAlignment="1">
      <alignment vertical="center"/>
    </xf>
    <xf numFmtId="3" fontId="5" fillId="0" borderId="63" xfId="0" applyNumberFormat="1" applyFont="1" applyBorder="1" applyAlignment="1">
      <alignment horizontal="center" vertical="center"/>
    </xf>
    <xf numFmtId="0" fontId="0" fillId="6" borderId="84" xfId="0" applyFill="1" applyBorder="1"/>
    <xf numFmtId="0" fontId="53" fillId="7" borderId="0" xfId="0" applyFont="1" applyFill="1" applyAlignment="1">
      <alignment horizontal="center" vertical="center"/>
    </xf>
    <xf numFmtId="0" fontId="53" fillId="7" borderId="0" xfId="0" applyFont="1" applyFill="1" applyAlignment="1">
      <alignment vertical="center"/>
    </xf>
    <xf numFmtId="0" fontId="0" fillId="6" borderId="85" xfId="0" applyFill="1" applyBorder="1"/>
    <xf numFmtId="0" fontId="0" fillId="6" borderId="86" xfId="0" applyFill="1" applyBorder="1"/>
    <xf numFmtId="0" fontId="0" fillId="6" borderId="0" xfId="0" applyFill="1"/>
    <xf numFmtId="0" fontId="0" fillId="6" borderId="87" xfId="0" applyFill="1" applyBorder="1"/>
    <xf numFmtId="0" fontId="54" fillId="8" borderId="0" xfId="0" applyFont="1" applyFill="1" applyAlignment="1">
      <alignment wrapText="1"/>
    </xf>
    <xf numFmtId="0" fontId="0" fillId="6" borderId="87" xfId="0" applyFill="1" applyBorder="1" applyAlignment="1">
      <alignment vertical="top"/>
    </xf>
    <xf numFmtId="0" fontId="0" fillId="6" borderId="0" xfId="0" applyFill="1" applyAlignment="1">
      <alignment vertical="top"/>
    </xf>
    <xf numFmtId="0" fontId="0" fillId="6" borderId="86" xfId="0" applyFill="1" applyBorder="1" applyAlignment="1">
      <alignment vertical="top"/>
    </xf>
    <xf numFmtId="0" fontId="55" fillId="6" borderId="0" xfId="0" applyFont="1" applyFill="1" applyAlignment="1">
      <alignment wrapText="1"/>
    </xf>
    <xf numFmtId="0" fontId="56" fillId="6" borderId="0" xfId="0" applyFont="1" applyFill="1" applyAlignment="1">
      <alignment wrapText="1"/>
    </xf>
    <xf numFmtId="0" fontId="57" fillId="6" borderId="0" xfId="0" applyFont="1" applyFill="1" applyAlignment="1">
      <alignment wrapText="1"/>
    </xf>
    <xf numFmtId="0" fontId="58" fillId="0" borderId="0" xfId="2"/>
    <xf numFmtId="0" fontId="59" fillId="6" borderId="0" xfId="2" applyFont="1" applyFill="1" applyAlignment="1">
      <alignment wrapText="1"/>
    </xf>
    <xf numFmtId="0" fontId="58" fillId="6" borderId="0" xfId="2" applyFill="1" applyAlignment="1">
      <alignment wrapText="1"/>
    </xf>
    <xf numFmtId="0" fontId="58" fillId="0" borderId="0" xfId="2" quotePrefix="1"/>
    <xf numFmtId="0" fontId="0" fillId="6" borderId="0" xfId="0" applyFill="1" applyAlignment="1">
      <alignment wrapText="1"/>
    </xf>
    <xf numFmtId="0" fontId="60" fillId="6" borderId="0" xfId="0" applyFont="1" applyFill="1"/>
    <xf numFmtId="0" fontId="0" fillId="6" borderId="0" xfId="0" quotePrefix="1" applyFill="1"/>
    <xf numFmtId="0" fontId="61" fillId="6" borderId="0" xfId="0" applyFont="1" applyFill="1" applyAlignment="1">
      <alignment vertical="center"/>
    </xf>
    <xf numFmtId="0" fontId="62" fillId="6" borderId="0" xfId="0" applyFont="1" applyFill="1" applyAlignment="1">
      <alignment vertical="center" wrapText="1"/>
    </xf>
    <xf numFmtId="0" fontId="62" fillId="6" borderId="0" xfId="0" applyFont="1" applyFill="1" applyAlignment="1">
      <alignment vertical="center"/>
    </xf>
    <xf numFmtId="0" fontId="63" fillId="6" borderId="0" xfId="0" applyFont="1" applyFill="1" applyAlignment="1">
      <alignment vertical="center"/>
    </xf>
    <xf numFmtId="0" fontId="27" fillId="6" borderId="0" xfId="0" applyFont="1" applyFill="1"/>
    <xf numFmtId="0" fontId="27" fillId="6" borderId="0" xfId="0" applyFont="1" applyFill="1" applyAlignment="1">
      <alignment vertical="center" wrapText="1"/>
    </xf>
    <xf numFmtId="0" fontId="27" fillId="6" borderId="0" xfId="0" applyFont="1" applyFill="1" applyAlignment="1">
      <alignment vertical="center"/>
    </xf>
    <xf numFmtId="0" fontId="27" fillId="6" borderId="0" xfId="0" applyFont="1" applyFill="1" applyAlignment="1">
      <alignment wrapText="1"/>
    </xf>
    <xf numFmtId="0" fontId="11" fillId="0" borderId="0" xfId="0" applyFont="1" applyAlignment="1">
      <alignment vertical="center"/>
    </xf>
    <xf numFmtId="49" fontId="5" fillId="0" borderId="44" xfId="0" applyNumberFormat="1" applyFont="1" applyBorder="1" applyAlignment="1" applyProtection="1">
      <alignment horizontal="left" vertical="center"/>
      <protection locked="0"/>
    </xf>
    <xf numFmtId="0" fontId="0" fillId="6" borderId="89" xfId="0" applyFill="1" applyBorder="1"/>
    <xf numFmtId="0" fontId="0" fillId="6" borderId="88" xfId="0" applyFill="1" applyBorder="1"/>
    <xf numFmtId="0" fontId="0" fillId="6" borderId="89" xfId="0" applyFill="1" applyBorder="1" applyAlignment="1">
      <alignment wrapText="1"/>
    </xf>
    <xf numFmtId="0" fontId="58" fillId="6" borderId="0" xfId="2" quotePrefix="1" applyFill="1"/>
    <xf numFmtId="0" fontId="58" fillId="6" borderId="0" xfId="2" applyFill="1"/>
    <xf numFmtId="3" fontId="18" fillId="0" borderId="45" xfId="0" applyNumberFormat="1" applyFont="1" applyBorder="1" applyAlignment="1">
      <alignment vertical="center"/>
    </xf>
    <xf numFmtId="1" fontId="24" fillId="0" borderId="91" xfId="0" applyNumberFormat="1" applyFont="1" applyBorder="1" applyAlignment="1" applyProtection="1">
      <alignment horizontal="left" vertical="center"/>
      <protection locked="0"/>
    </xf>
    <xf numFmtId="3" fontId="5" fillId="2" borderId="90" xfId="0" applyNumberFormat="1" applyFont="1" applyFill="1" applyBorder="1" applyAlignment="1" applyProtection="1">
      <alignment vertical="center"/>
      <protection locked="0"/>
    </xf>
    <xf numFmtId="3" fontId="5" fillId="0" borderId="70" xfId="0" applyNumberFormat="1" applyFont="1" applyBorder="1" applyAlignment="1">
      <alignment vertical="center"/>
    </xf>
    <xf numFmtId="3" fontId="5" fillId="0" borderId="92" xfId="0" applyNumberFormat="1" applyFont="1" applyBorder="1" applyAlignment="1">
      <alignment vertical="center"/>
    </xf>
    <xf numFmtId="3" fontId="5" fillId="0" borderId="54" xfId="0" applyNumberFormat="1" applyFont="1" applyBorder="1" applyAlignment="1">
      <alignment vertical="center"/>
    </xf>
    <xf numFmtId="3" fontId="34" fillId="0" borderId="93" xfId="0" applyNumberFormat="1" applyFont="1" applyBorder="1" applyAlignment="1">
      <alignment horizontal="right" vertical="center"/>
    </xf>
    <xf numFmtId="3" fontId="34" fillId="0" borderId="94" xfId="0" applyNumberFormat="1" applyFont="1" applyBorder="1" applyAlignment="1">
      <alignment horizontal="right" vertical="center"/>
    </xf>
    <xf numFmtId="1" fontId="5" fillId="0" borderId="95" xfId="0" applyNumberFormat="1" applyFont="1" applyBorder="1" applyAlignment="1" applyProtection="1">
      <alignment horizontal="left" vertical="center"/>
      <protection locked="0"/>
    </xf>
    <xf numFmtId="3" fontId="5" fillId="0" borderId="96" xfId="0" applyNumberFormat="1" applyFont="1" applyBorder="1" applyAlignment="1" applyProtection="1">
      <alignment vertical="center"/>
      <protection locked="0"/>
    </xf>
    <xf numFmtId="3" fontId="9" fillId="0" borderId="97" xfId="0" applyNumberFormat="1" applyFont="1" applyBorder="1" applyAlignment="1" applyProtection="1">
      <alignment horizontal="left" vertical="center"/>
      <protection locked="0"/>
    </xf>
    <xf numFmtId="0" fontId="13" fillId="0" borderId="93" xfId="0" applyFont="1" applyBorder="1"/>
    <xf numFmtId="0" fontId="13" fillId="0" borderId="97" xfId="0" applyFont="1" applyBorder="1"/>
    <xf numFmtId="3" fontId="4" fillId="0" borderId="94" xfId="0" applyNumberFormat="1" applyFont="1" applyBorder="1" applyAlignment="1">
      <alignment horizontal="right" vertical="center"/>
    </xf>
    <xf numFmtId="3" fontId="5" fillId="0" borderId="95" xfId="0" applyNumberFormat="1" applyFont="1" applyBorder="1" applyAlignment="1">
      <alignment vertical="center"/>
    </xf>
    <xf numFmtId="3" fontId="9" fillId="0" borderId="97" xfId="0" applyNumberFormat="1" applyFont="1" applyBorder="1" applyAlignment="1" applyProtection="1">
      <alignment vertical="center"/>
      <protection locked="0"/>
    </xf>
    <xf numFmtId="3" fontId="4" fillId="0" borderId="93" xfId="0" applyNumberFormat="1" applyFont="1" applyBorder="1" applyAlignment="1" applyProtection="1">
      <alignment horizontal="right" vertical="center"/>
      <protection locked="0"/>
    </xf>
    <xf numFmtId="0" fontId="13" fillId="0" borderId="96" xfId="0" applyFont="1" applyBorder="1"/>
    <xf numFmtId="3" fontId="4" fillId="0" borderId="98" xfId="0" applyNumberFormat="1" applyFont="1" applyBorder="1" applyAlignment="1">
      <alignment horizontal="right" vertical="center"/>
    </xf>
    <xf numFmtId="3" fontId="9" fillId="0" borderId="99" xfId="0" applyNumberFormat="1" applyFont="1" applyBorder="1" applyAlignment="1">
      <alignment vertical="center"/>
    </xf>
    <xf numFmtId="3" fontId="5" fillId="0" borderId="100" xfId="0" applyNumberFormat="1" applyFont="1" applyBorder="1" applyAlignment="1">
      <alignment vertical="center"/>
    </xf>
    <xf numFmtId="3" fontId="5" fillId="0" borderId="101" xfId="0" applyNumberFormat="1" applyFont="1" applyBorder="1" applyAlignment="1">
      <alignment vertical="center"/>
    </xf>
    <xf numFmtId="3" fontId="5" fillId="0" borderId="102" xfId="0" applyNumberFormat="1" applyFont="1" applyBorder="1" applyAlignment="1">
      <alignment horizontal="left" vertical="top"/>
    </xf>
    <xf numFmtId="3" fontId="4" fillId="0" borderId="102" xfId="0" applyNumberFormat="1" applyFont="1" applyBorder="1" applyAlignment="1">
      <alignment horizontal="left" vertical="top"/>
    </xf>
    <xf numFmtId="3" fontId="5" fillId="0" borderId="102" xfId="0" applyNumberFormat="1" applyFont="1" applyBorder="1" applyAlignment="1">
      <alignment horizontal="center" vertical="center"/>
    </xf>
    <xf numFmtId="3" fontId="4" fillId="0" borderId="103" xfId="0" applyNumberFormat="1" applyFont="1" applyBorder="1" applyAlignment="1">
      <alignment vertical="center"/>
    </xf>
    <xf numFmtId="3" fontId="5" fillId="0" borderId="13" xfId="0" quotePrefix="1" applyNumberFormat="1" applyFont="1" applyBorder="1" applyAlignment="1">
      <alignment vertical="center"/>
    </xf>
    <xf numFmtId="3" fontId="4" fillId="0" borderId="15" xfId="1" applyNumberFormat="1" applyFont="1" applyFill="1" applyBorder="1" applyAlignment="1" applyProtection="1">
      <alignment horizontal="right" vertical="center"/>
      <protection locked="0"/>
    </xf>
    <xf numFmtId="3" fontId="4" fillId="0" borderId="14" xfId="1" applyNumberFormat="1" applyFont="1" applyFill="1" applyBorder="1" applyAlignment="1">
      <alignment horizontal="right" vertical="center"/>
    </xf>
    <xf numFmtId="3" fontId="4" fillId="0" borderId="16" xfId="1" applyNumberFormat="1" applyFont="1" applyFill="1" applyBorder="1" applyAlignment="1">
      <alignment horizontal="right" vertical="center"/>
    </xf>
    <xf numFmtId="3" fontId="4" fillId="0" borderId="0" xfId="0" applyNumberFormat="1" applyFont="1" applyBorder="1" applyAlignment="1">
      <alignment horizontal="left" vertical="center"/>
    </xf>
    <xf numFmtId="3" fontId="4" fillId="0" borderId="52" xfId="1" applyNumberFormat="1" applyFont="1" applyBorder="1" applyAlignment="1" applyProtection="1">
      <alignment horizontal="right" vertical="center"/>
      <protection locked="0"/>
    </xf>
    <xf numFmtId="3" fontId="4" fillId="0" borderId="104" xfId="1" applyNumberFormat="1" applyFont="1" applyBorder="1" applyAlignment="1">
      <alignment horizontal="right" vertical="center"/>
    </xf>
    <xf numFmtId="3" fontId="5" fillId="0" borderId="105" xfId="0" applyNumberFormat="1" applyFont="1" applyBorder="1" applyAlignment="1">
      <alignment vertical="center"/>
    </xf>
    <xf numFmtId="3" fontId="5" fillId="0" borderId="106" xfId="0" applyNumberFormat="1" applyFont="1" applyBorder="1" applyAlignment="1">
      <alignment horizontal="left" vertical="center"/>
    </xf>
    <xf numFmtId="3" fontId="5" fillId="0" borderId="106" xfId="0" applyNumberFormat="1" applyFont="1" applyBorder="1" applyAlignment="1">
      <alignment vertical="center"/>
    </xf>
    <xf numFmtId="3" fontId="5" fillId="0" borderId="107" xfId="0" applyNumberFormat="1" applyFont="1" applyBorder="1" applyAlignment="1">
      <alignment vertical="center"/>
    </xf>
    <xf numFmtId="3" fontId="4" fillId="0" borderId="108" xfId="0" applyNumberFormat="1" applyFont="1" applyBorder="1" applyAlignment="1" applyProtection="1">
      <alignment horizontal="right" vertical="center"/>
      <protection locked="0"/>
    </xf>
    <xf numFmtId="3" fontId="4" fillId="0" borderId="108" xfId="1" applyNumberFormat="1" applyFont="1" applyFill="1" applyBorder="1" applyAlignment="1" applyProtection="1">
      <alignment horizontal="right" vertical="center"/>
      <protection locked="0"/>
    </xf>
    <xf numFmtId="3" fontId="4" fillId="0" borderId="107" xfId="1" applyNumberFormat="1" applyFont="1" applyFill="1" applyBorder="1" applyAlignment="1">
      <alignment horizontal="right" vertical="center"/>
    </xf>
    <xf numFmtId="3" fontId="4" fillId="0" borderId="54" xfId="1" applyNumberFormat="1" applyFont="1" applyBorder="1" applyAlignment="1">
      <alignment horizontal="right" vertical="center"/>
    </xf>
    <xf numFmtId="3" fontId="43" fillId="0" borderId="92" xfId="0" applyNumberFormat="1" applyFont="1" applyBorder="1" applyAlignment="1">
      <alignment vertical="center"/>
    </xf>
    <xf numFmtId="3" fontId="4" fillId="0" borderId="93" xfId="1" applyNumberFormat="1" applyFont="1" applyBorder="1" applyAlignment="1">
      <alignment vertical="center"/>
    </xf>
    <xf numFmtId="3" fontId="4" fillId="0" borderId="94" xfId="1" applyNumberFormat="1" applyFont="1" applyBorder="1" applyAlignment="1">
      <alignment vertical="center"/>
    </xf>
    <xf numFmtId="3" fontId="4" fillId="0" borderId="93" xfId="0" applyNumberFormat="1" applyFont="1" applyBorder="1" applyAlignment="1">
      <alignment vertical="center"/>
    </xf>
    <xf numFmtId="3" fontId="4" fillId="0" borderId="94" xfId="0" applyNumberFormat="1" applyFont="1" applyBorder="1" applyAlignment="1">
      <alignment vertical="center"/>
    </xf>
    <xf numFmtId="3" fontId="9" fillId="0" borderId="97" xfId="0" applyNumberFormat="1" applyFont="1" applyBorder="1" applyAlignment="1">
      <alignment vertical="center"/>
    </xf>
    <xf numFmtId="0" fontId="13" fillId="0" borderId="100" xfId="0" applyFont="1" applyBorder="1"/>
    <xf numFmtId="3" fontId="4" fillId="0" borderId="100" xfId="0" applyNumberFormat="1" applyFont="1" applyBorder="1" applyAlignment="1">
      <alignment vertical="center"/>
    </xf>
    <xf numFmtId="3" fontId="5" fillId="0" borderId="109" xfId="0" applyNumberFormat="1" applyFont="1" applyBorder="1" applyAlignment="1">
      <alignment vertical="center" wrapText="1"/>
    </xf>
    <xf numFmtId="3" fontId="5" fillId="0" borderId="110" xfId="0" applyNumberFormat="1" applyFont="1" applyBorder="1" applyAlignment="1">
      <alignment vertical="center" wrapText="1"/>
    </xf>
    <xf numFmtId="3" fontId="4" fillId="0" borderId="111" xfId="0" applyNumberFormat="1" applyFont="1" applyBorder="1" applyAlignment="1">
      <alignment vertical="center"/>
    </xf>
    <xf numFmtId="3" fontId="4" fillId="0" borderId="112" xfId="0" applyNumberFormat="1" applyFont="1" applyBorder="1" applyAlignment="1">
      <alignment vertical="center"/>
    </xf>
    <xf numFmtId="3" fontId="4" fillId="0" borderId="113" xfId="0" applyNumberFormat="1" applyFont="1" applyBorder="1" applyAlignment="1">
      <alignment vertical="center"/>
    </xf>
    <xf numFmtId="3" fontId="4" fillId="0" borderId="113" xfId="1" applyNumberFormat="1" applyFont="1" applyBorder="1" applyAlignment="1" applyProtection="1">
      <alignment horizontal="right" vertical="center"/>
      <protection locked="0"/>
    </xf>
    <xf numFmtId="3" fontId="4" fillId="0" borderId="114" xfId="1" applyNumberFormat="1" applyFont="1" applyBorder="1" applyAlignment="1">
      <alignment horizontal="right" vertical="center"/>
    </xf>
    <xf numFmtId="3" fontId="4" fillId="0" borderId="114" xfId="1" applyNumberFormat="1" applyFont="1" applyFill="1" applyBorder="1" applyAlignment="1">
      <alignment horizontal="right" vertical="center"/>
    </xf>
    <xf numFmtId="1" fontId="4" fillId="2" borderId="115" xfId="0" applyNumberFormat="1" applyFont="1" applyFill="1" applyBorder="1" applyAlignment="1" applyProtection="1">
      <alignment horizontal="right" vertical="center"/>
      <protection locked="0"/>
    </xf>
    <xf numFmtId="1" fontId="4" fillId="2" borderId="117" xfId="0" applyNumberFormat="1" applyFont="1" applyFill="1" applyBorder="1" applyAlignment="1" applyProtection="1">
      <alignment horizontal="right" vertical="center"/>
      <protection locked="0"/>
    </xf>
    <xf numFmtId="3" fontId="1" fillId="2" borderId="116" xfId="0" applyNumberFormat="1" applyFont="1" applyFill="1" applyBorder="1" applyAlignment="1" applyProtection="1">
      <protection locked="0"/>
    </xf>
    <xf numFmtId="3" fontId="34" fillId="0" borderId="115" xfId="0" applyNumberFormat="1" applyFont="1" applyBorder="1" applyAlignment="1">
      <alignment horizontal="right" vertical="center"/>
    </xf>
    <xf numFmtId="3" fontId="34" fillId="0" borderId="111" xfId="0" applyNumberFormat="1" applyFont="1" applyBorder="1" applyAlignment="1">
      <alignment horizontal="right" vertical="center"/>
    </xf>
    <xf numFmtId="3" fontId="5" fillId="0" borderId="118" xfId="0" applyNumberFormat="1" applyFont="1" applyBorder="1" applyAlignment="1">
      <alignment horizontal="center" vertical="center"/>
    </xf>
    <xf numFmtId="3" fontId="4" fillId="0" borderId="115" xfId="1" applyNumberFormat="1" applyFont="1" applyBorder="1" applyAlignment="1" applyProtection="1">
      <alignment horizontal="right" vertical="center"/>
      <protection locked="0"/>
    </xf>
    <xf numFmtId="3" fontId="4" fillId="0" borderId="111" xfId="0" applyNumberFormat="1" applyFont="1" applyBorder="1" applyAlignment="1" applyProtection="1">
      <alignment horizontal="right" vertical="center"/>
      <protection locked="0"/>
    </xf>
    <xf numFmtId="3" fontId="4" fillId="0" borderId="115" xfId="0" applyNumberFormat="1" applyFont="1" applyBorder="1" applyAlignment="1" applyProtection="1">
      <alignment horizontal="right" vertical="center"/>
      <protection locked="0"/>
    </xf>
    <xf numFmtId="3" fontId="4" fillId="0" borderId="119" xfId="0" applyNumberFormat="1" applyFont="1" applyBorder="1" applyAlignment="1" applyProtection="1">
      <alignment horizontal="right" vertical="center"/>
      <protection locked="0"/>
    </xf>
    <xf numFmtId="3" fontId="4" fillId="0" borderId="111" xfId="1" applyNumberFormat="1" applyFont="1" applyBorder="1" applyAlignment="1" applyProtection="1">
      <alignment horizontal="right" vertical="center"/>
      <protection locked="0"/>
    </xf>
    <xf numFmtId="3" fontId="5" fillId="0" borderId="92" xfId="0" applyNumberFormat="1" applyFont="1" applyBorder="1" applyAlignment="1">
      <alignment horizontal="center" vertical="center"/>
    </xf>
    <xf numFmtId="3" fontId="44" fillId="0" borderId="25" xfId="0" applyNumberFormat="1" applyFont="1" applyBorder="1" applyAlignment="1">
      <alignment vertical="center"/>
    </xf>
    <xf numFmtId="3" fontId="9" fillId="0" borderId="120" xfId="0" applyNumberFormat="1" applyFont="1" applyBorder="1" applyAlignment="1">
      <alignment vertical="center"/>
    </xf>
    <xf numFmtId="3" fontId="44" fillId="0" borderId="121" xfId="0" applyNumberFormat="1" applyFont="1" applyBorder="1" applyAlignment="1">
      <alignment vertical="center"/>
    </xf>
    <xf numFmtId="3" fontId="44" fillId="0" borderId="122" xfId="0" applyNumberFormat="1" applyFont="1" applyBorder="1" applyAlignment="1">
      <alignment vertical="center"/>
    </xf>
    <xf numFmtId="3" fontId="44" fillId="0" borderId="124" xfId="0" applyNumberFormat="1" applyFont="1" applyBorder="1" applyAlignment="1">
      <alignment vertical="center"/>
    </xf>
    <xf numFmtId="3" fontId="44" fillId="0" borderId="123" xfId="0" applyNumberFormat="1" applyFont="1" applyBorder="1" applyAlignment="1">
      <alignment vertical="center"/>
    </xf>
    <xf numFmtId="3" fontId="44" fillId="0" borderId="120" xfId="0" applyNumberFormat="1" applyFont="1" applyBorder="1" applyAlignment="1">
      <alignment vertical="center"/>
    </xf>
    <xf numFmtId="3" fontId="16" fillId="5" borderId="13" xfId="0" applyNumberFormat="1" applyFont="1" applyFill="1" applyBorder="1" applyAlignment="1" applyProtection="1">
      <alignment horizontal="center" vertical="center"/>
      <protection locked="0"/>
    </xf>
    <xf numFmtId="3" fontId="16" fillId="5" borderId="0" xfId="0" applyNumberFormat="1" applyFont="1" applyFill="1" applyBorder="1" applyAlignment="1" applyProtection="1">
      <alignment horizontal="center" vertical="center"/>
      <protection locked="0"/>
    </xf>
    <xf numFmtId="3" fontId="16" fillId="5" borderId="16" xfId="0" applyNumberFormat="1" applyFont="1" applyFill="1" applyBorder="1" applyAlignment="1" applyProtection="1">
      <alignment horizontal="center" vertical="center"/>
      <protection locked="0"/>
    </xf>
    <xf numFmtId="3" fontId="20" fillId="5" borderId="13" xfId="0" applyNumberFormat="1" applyFont="1" applyFill="1" applyBorder="1" applyAlignment="1" applyProtection="1">
      <alignment horizontal="center" vertical="center" wrapText="1"/>
      <protection locked="0"/>
    </xf>
    <xf numFmtId="3" fontId="20" fillId="5" borderId="0" xfId="0" applyNumberFormat="1" applyFont="1" applyFill="1" applyBorder="1" applyAlignment="1" applyProtection="1">
      <alignment horizontal="center" vertical="center" wrapText="1"/>
      <protection locked="0"/>
    </xf>
    <xf numFmtId="3" fontId="20" fillId="5" borderId="16" xfId="0" applyNumberFormat="1" applyFont="1" applyFill="1" applyBorder="1" applyAlignment="1" applyProtection="1">
      <alignment horizontal="center" vertical="center" wrapText="1"/>
      <protection locked="0"/>
    </xf>
    <xf numFmtId="3" fontId="16" fillId="5" borderId="29" xfId="0" applyNumberFormat="1" applyFont="1" applyFill="1" applyBorder="1" applyAlignment="1" applyProtection="1">
      <alignment horizontal="center" vertical="center"/>
      <protection locked="0"/>
    </xf>
    <xf numFmtId="0" fontId="27" fillId="0" borderId="30" xfId="0" applyFont="1" applyBorder="1" applyAlignment="1">
      <alignment horizontal="center" vertical="center"/>
    </xf>
    <xf numFmtId="0" fontId="27" fillId="0" borderId="79" xfId="0" applyFont="1" applyBorder="1" applyAlignment="1">
      <alignment horizontal="center" vertical="center"/>
    </xf>
    <xf numFmtId="3" fontId="16" fillId="5" borderId="29" xfId="0" applyNumberFormat="1" applyFont="1" applyFill="1" applyBorder="1" applyAlignment="1" applyProtection="1">
      <alignment horizontal="center" vertical="center" wrapText="1"/>
      <protection locked="0"/>
    </xf>
    <xf numFmtId="3" fontId="5" fillId="2" borderId="80" xfId="0" applyNumberFormat="1" applyFont="1" applyFill="1" applyBorder="1" applyAlignment="1" applyProtection="1">
      <alignment horizontal="left" vertical="top"/>
      <protection locked="0"/>
    </xf>
    <xf numFmtId="3" fontId="5" fillId="2" borderId="28" xfId="0" applyNumberFormat="1" applyFont="1" applyFill="1" applyBorder="1" applyAlignment="1" applyProtection="1">
      <alignment horizontal="left" vertical="top"/>
      <protection locked="0"/>
    </xf>
    <xf numFmtId="3" fontId="5" fillId="2" borderId="22" xfId="0" applyNumberFormat="1" applyFont="1" applyFill="1" applyBorder="1" applyAlignment="1" applyProtection="1">
      <alignment horizontal="left" vertical="top"/>
      <protection locked="0"/>
    </xf>
    <xf numFmtId="3" fontId="5" fillId="2" borderId="55" xfId="0" applyNumberFormat="1" applyFont="1" applyFill="1" applyBorder="1" applyAlignment="1" applyProtection="1">
      <alignment horizontal="left" vertical="top"/>
      <protection locked="0"/>
    </xf>
    <xf numFmtId="3" fontId="5" fillId="2" borderId="25" xfId="0" applyNumberFormat="1" applyFont="1" applyFill="1" applyBorder="1" applyAlignment="1" applyProtection="1">
      <alignment horizontal="left" vertical="top"/>
      <protection locked="0"/>
    </xf>
    <xf numFmtId="3" fontId="5" fillId="2" borderId="23" xfId="0" applyNumberFormat="1" applyFont="1" applyFill="1" applyBorder="1" applyAlignment="1" applyProtection="1">
      <alignment horizontal="left" vertical="top"/>
      <protection locked="0"/>
    </xf>
    <xf numFmtId="3" fontId="5" fillId="2" borderId="33" xfId="0" applyNumberFormat="1" applyFont="1" applyFill="1" applyBorder="1" applyAlignment="1" applyProtection="1">
      <alignment horizontal="left" vertical="top"/>
      <protection locked="0"/>
    </xf>
    <xf numFmtId="3" fontId="5" fillId="2" borderId="26" xfId="0" applyNumberFormat="1" applyFont="1" applyFill="1" applyBorder="1" applyAlignment="1" applyProtection="1">
      <alignment horizontal="left" vertical="top"/>
      <protection locked="0"/>
    </xf>
    <xf numFmtId="0" fontId="62" fillId="0" borderId="0" xfId="0" applyFont="1"/>
  </cellXfs>
  <cellStyles count="3">
    <cellStyle name="Hyperlink" xfId="2" builtinId="8"/>
    <cellStyle name="Normal" xfId="0" builtinId="0"/>
    <cellStyle name="Normal 2" xfId="1" xr:uid="{00000000-0005-0000-0000-000002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E7E2CF"/>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B4A76C"/>
      <rgbColor rgb="00004165"/>
    </indexedColors>
    <mruColors>
      <color rgb="FFB4A76C"/>
      <color rgb="FFE7E2C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24"/>
  <sheetViews>
    <sheetView topLeftCell="A10" zoomScale="130" zoomScaleNormal="130" workbookViewId="0">
      <selection activeCell="E11" sqref="E11"/>
    </sheetView>
  </sheetViews>
  <sheetFormatPr defaultColWidth="11.5546875" defaultRowHeight="15"/>
  <sheetData>
    <row r="2" spans="1:11">
      <c r="A2" s="699" t="s">
        <v>133</v>
      </c>
      <c r="B2" s="700"/>
      <c r="C2" s="700"/>
      <c r="D2" s="700"/>
      <c r="E2" s="700"/>
      <c r="F2" s="700"/>
      <c r="G2" s="700"/>
      <c r="H2" s="700"/>
      <c r="I2" s="700"/>
      <c r="J2" s="700"/>
      <c r="K2" s="701"/>
    </row>
    <row r="3" spans="1:11">
      <c r="A3" s="702"/>
      <c r="B3" s="703"/>
      <c r="C3" s="703"/>
      <c r="D3" s="703"/>
      <c r="E3" s="703"/>
      <c r="F3" s="703"/>
      <c r="G3" s="703"/>
      <c r="H3" s="703"/>
      <c r="I3" s="703"/>
      <c r="J3" s="703"/>
      <c r="K3" s="704"/>
    </row>
    <row r="4" spans="1:11" ht="15.75" thickBot="1">
      <c r="A4" s="705" t="s">
        <v>229</v>
      </c>
      <c r="B4" s="706"/>
      <c r="C4" s="706"/>
      <c r="D4" s="706"/>
      <c r="E4" s="706"/>
      <c r="F4" s="706"/>
      <c r="G4" s="706"/>
      <c r="H4" s="706"/>
      <c r="I4" s="706"/>
      <c r="J4" s="706"/>
      <c r="K4" s="707"/>
    </row>
    <row r="5" spans="1:11" ht="15.75" thickBot="1">
      <c r="A5" s="708" t="s">
        <v>230</v>
      </c>
      <c r="B5" s="706"/>
      <c r="C5" s="706"/>
      <c r="D5" s="706"/>
      <c r="E5" s="706"/>
      <c r="F5" s="706"/>
      <c r="G5" s="706"/>
      <c r="H5" s="706"/>
      <c r="I5" s="706"/>
      <c r="J5" s="706"/>
      <c r="K5" s="707"/>
    </row>
    <row r="7" spans="1:11">
      <c r="A7" s="435" t="s">
        <v>127</v>
      </c>
    </row>
    <row r="8" spans="1:11">
      <c r="A8" s="53" t="s">
        <v>134</v>
      </c>
      <c r="B8" s="338"/>
      <c r="C8" s="339"/>
      <c r="D8" s="339"/>
      <c r="E8" s="339"/>
      <c r="F8" s="54"/>
      <c r="G8" s="338"/>
      <c r="H8" s="338"/>
      <c r="I8" s="338"/>
      <c r="J8" s="338"/>
    </row>
    <row r="9" spans="1:11">
      <c r="A9" s="53"/>
      <c r="B9" s="338"/>
      <c r="C9" s="339"/>
      <c r="D9" s="339"/>
      <c r="E9" s="339"/>
      <c r="F9" s="54"/>
      <c r="G9" s="338"/>
      <c r="H9" s="338"/>
      <c r="I9" s="338"/>
      <c r="J9" s="338"/>
    </row>
    <row r="10" spans="1:11">
      <c r="A10" s="404" t="s">
        <v>224</v>
      </c>
      <c r="B10" s="344"/>
      <c r="C10" s="344"/>
      <c r="D10" s="344"/>
      <c r="E10" s="344"/>
      <c r="F10" s="405"/>
      <c r="G10" s="344"/>
      <c r="H10" s="344"/>
      <c r="I10" s="344"/>
      <c r="J10" s="344"/>
    </row>
    <row r="12" spans="1:11" ht="18">
      <c r="A12" s="447" t="s">
        <v>137</v>
      </c>
      <c r="F12" s="435"/>
    </row>
    <row r="14" spans="1:11">
      <c r="A14" s="53" t="s">
        <v>135</v>
      </c>
      <c r="F14" s="435"/>
    </row>
    <row r="18" spans="1:11">
      <c r="A18" s="431" t="s">
        <v>132</v>
      </c>
      <c r="B18" s="432"/>
    </row>
    <row r="19" spans="1:11">
      <c r="A19" s="431" t="s">
        <v>121</v>
      </c>
      <c r="B19" s="432"/>
    </row>
    <row r="20" spans="1:11">
      <c r="A20" s="702" t="s">
        <v>121</v>
      </c>
      <c r="B20" s="703"/>
      <c r="C20" s="703"/>
      <c r="D20" s="703"/>
      <c r="E20" s="703"/>
      <c r="F20" s="703"/>
      <c r="G20" s="703"/>
      <c r="H20" s="703"/>
      <c r="I20" s="703"/>
      <c r="J20" s="703"/>
      <c r="K20" s="704"/>
    </row>
    <row r="21" spans="1:11">
      <c r="A21" t="s">
        <v>126</v>
      </c>
    </row>
    <row r="22" spans="1:11">
      <c r="A22" s="435" t="s">
        <v>125</v>
      </c>
    </row>
    <row r="24" spans="1:11">
      <c r="A24" s="53"/>
      <c r="E24" s="53"/>
    </row>
  </sheetData>
  <mergeCells count="5">
    <mergeCell ref="A2:K2"/>
    <mergeCell ref="A3:K3"/>
    <mergeCell ref="A4:K4"/>
    <mergeCell ref="A5:K5"/>
    <mergeCell ref="A20:K20"/>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1"/>
  <sheetViews>
    <sheetView tabSelected="1" workbookViewId="0"/>
  </sheetViews>
  <sheetFormatPr defaultColWidth="6.77734375" defaultRowHeight="15"/>
  <cols>
    <col min="1" max="1" width="3.21875" style="592" customWidth="1"/>
    <col min="2" max="2" width="121.5546875" style="605" customWidth="1"/>
    <col min="3" max="3" width="9.44140625" style="592" customWidth="1"/>
    <col min="4" max="4" width="3.109375" style="592" customWidth="1"/>
    <col min="5" max="5" width="6.77734375" style="592" customWidth="1"/>
    <col min="6" max="16384" width="6.77734375" style="592"/>
  </cols>
  <sheetData>
    <row r="1" spans="1:5" ht="15" customHeight="1">
      <c r="A1" s="587"/>
      <c r="B1" s="588" t="s">
        <v>172</v>
      </c>
      <c r="C1" s="589"/>
      <c r="D1" s="590"/>
      <c r="E1" s="591"/>
    </row>
    <row r="2" spans="1:5" ht="31.5" customHeight="1">
      <c r="A2" s="593"/>
      <c r="B2" s="594" t="s">
        <v>180</v>
      </c>
      <c r="C2" s="594"/>
      <c r="E2" s="591"/>
    </row>
    <row r="3" spans="1:5" s="596" customFormat="1" ht="18" customHeight="1">
      <c r="A3" s="595"/>
      <c r="B3" s="589"/>
      <c r="C3" s="589"/>
      <c r="E3" s="597"/>
    </row>
    <row r="4" spans="1:5">
      <c r="A4" s="593"/>
      <c r="B4" s="598" t="s">
        <v>225</v>
      </c>
      <c r="E4" s="591"/>
    </row>
    <row r="5" spans="1:5">
      <c r="A5" s="593"/>
      <c r="B5" s="598" t="s">
        <v>173</v>
      </c>
      <c r="E5" s="591"/>
    </row>
    <row r="6" spans="1:5">
      <c r="A6" s="593"/>
      <c r="B6" s="599"/>
      <c r="E6" s="591"/>
    </row>
    <row r="7" spans="1:5">
      <c r="A7" s="593"/>
      <c r="B7" s="599" t="s">
        <v>174</v>
      </c>
      <c r="E7" s="591"/>
    </row>
    <row r="8" spans="1:5">
      <c r="A8" s="593"/>
      <c r="B8" s="600" t="s">
        <v>175</v>
      </c>
      <c r="E8" s="591"/>
    </row>
    <row r="9" spans="1:5">
      <c r="A9" s="593"/>
      <c r="B9" s="600"/>
      <c r="E9" s="591"/>
    </row>
    <row r="10" spans="1:5" ht="15.75">
      <c r="A10" s="593"/>
      <c r="B10" s="601" t="s">
        <v>209</v>
      </c>
      <c r="E10" s="591"/>
    </row>
    <row r="11" spans="1:5">
      <c r="A11" s="593"/>
      <c r="B11" s="600"/>
      <c r="E11" s="591"/>
    </row>
    <row r="12" spans="1:5" ht="15" customHeight="1">
      <c r="A12" s="593"/>
      <c r="B12" s="601" t="s">
        <v>181</v>
      </c>
      <c r="E12" s="591"/>
    </row>
    <row r="13" spans="1:5">
      <c r="A13" s="593"/>
      <c r="B13" s="602"/>
      <c r="E13" s="591"/>
    </row>
    <row r="14" spans="1:5" ht="14.45" customHeight="1">
      <c r="B14" s="601" t="s">
        <v>182</v>
      </c>
      <c r="E14" s="591"/>
    </row>
    <row r="15" spans="1:5">
      <c r="B15" s="602"/>
      <c r="E15" s="591"/>
    </row>
    <row r="16" spans="1:5" ht="15" customHeight="1">
      <c r="B16" s="601" t="s">
        <v>183</v>
      </c>
      <c r="E16" s="591"/>
    </row>
    <row r="17" spans="2:5" ht="15" customHeight="1">
      <c r="B17" s="603"/>
      <c r="E17" s="591"/>
    </row>
    <row r="18" spans="2:5" ht="15" customHeight="1">
      <c r="B18" s="601" t="s">
        <v>184</v>
      </c>
      <c r="E18" s="591"/>
    </row>
    <row r="19" spans="2:5" ht="15" customHeight="1">
      <c r="B19" s="603"/>
      <c r="E19" s="591"/>
    </row>
    <row r="20" spans="2:5" ht="15" customHeight="1">
      <c r="B20" s="601" t="s">
        <v>185</v>
      </c>
      <c r="E20" s="591"/>
    </row>
    <row r="21" spans="2:5" ht="15" customHeight="1">
      <c r="B21" s="603"/>
      <c r="E21" s="591"/>
    </row>
    <row r="22" spans="2:5" ht="15" customHeight="1">
      <c r="B22" s="601" t="s">
        <v>186</v>
      </c>
      <c r="E22" s="591"/>
    </row>
    <row r="23" spans="2:5" ht="15" customHeight="1">
      <c r="B23" s="603"/>
      <c r="E23" s="591"/>
    </row>
    <row r="24" spans="2:5" ht="15" customHeight="1">
      <c r="B24" s="601" t="s">
        <v>187</v>
      </c>
      <c r="E24" s="591"/>
    </row>
    <row r="25" spans="2:5" ht="15" customHeight="1">
      <c r="B25" s="603"/>
      <c r="E25" s="591"/>
    </row>
    <row r="26" spans="2:5" ht="15" customHeight="1">
      <c r="B26" s="604" t="s">
        <v>188</v>
      </c>
      <c r="E26" s="591"/>
    </row>
    <row r="27" spans="2:5" ht="15" customHeight="1">
      <c r="B27" s="603"/>
      <c r="E27" s="591"/>
    </row>
    <row r="28" spans="2:5" ht="15" customHeight="1">
      <c r="B28" s="601" t="s">
        <v>189</v>
      </c>
      <c r="E28" s="591"/>
    </row>
    <row r="29" spans="2:5" ht="15" customHeight="1">
      <c r="B29" s="603"/>
      <c r="E29" s="591"/>
    </row>
    <row r="30" spans="2:5" ht="15" customHeight="1">
      <c r="B30" s="621" t="s">
        <v>190</v>
      </c>
      <c r="E30" s="591"/>
    </row>
    <row r="31" spans="2:5" ht="15" customHeight="1">
      <c r="B31" s="622"/>
      <c r="E31" s="591"/>
    </row>
    <row r="32" spans="2:5" ht="15" customHeight="1">
      <c r="B32" s="622" t="s">
        <v>191</v>
      </c>
      <c r="E32" s="591"/>
    </row>
    <row r="33" spans="1:5" ht="15" customHeight="1">
      <c r="B33" s="622"/>
      <c r="E33" s="591"/>
    </row>
    <row r="34" spans="1:5" ht="15" customHeight="1">
      <c r="B34" s="622" t="s">
        <v>176</v>
      </c>
      <c r="E34" s="591"/>
    </row>
    <row r="35" spans="1:5" ht="15" customHeight="1">
      <c r="B35" s="622"/>
      <c r="E35" s="591"/>
    </row>
    <row r="36" spans="1:5" ht="15" customHeight="1">
      <c r="B36" s="601" t="s">
        <v>177</v>
      </c>
      <c r="E36" s="591"/>
    </row>
    <row r="37" spans="1:5" ht="15" customHeight="1">
      <c r="B37" s="603"/>
      <c r="E37" s="591"/>
    </row>
    <row r="38" spans="1:5" ht="15" customHeight="1">
      <c r="B38" s="601" t="s">
        <v>178</v>
      </c>
      <c r="E38" s="591"/>
    </row>
    <row r="39" spans="1:5" ht="15" customHeight="1">
      <c r="B39" s="603"/>
      <c r="E39" s="591"/>
    </row>
    <row r="40" spans="1:5" ht="15" customHeight="1">
      <c r="B40" s="601" t="s">
        <v>179</v>
      </c>
      <c r="E40" s="591"/>
    </row>
    <row r="41" spans="1:5">
      <c r="A41" s="618"/>
      <c r="B41" s="620"/>
      <c r="C41" s="618"/>
      <c r="D41" s="619"/>
    </row>
  </sheetData>
  <hyperlinks>
    <hyperlink ref="B12" location="'Table 1'!Print_Area" display="Table 1: Housing Start Data in Centres 10,000 Population and Over" xr:uid="{00000000-0004-0000-0100-000000000000}"/>
    <hyperlink ref="B14" location="'Table 2'!A1" display="Table 2: Housing Start Data in Centres 10,000 Population and Over (Cumulative)" xr:uid="{00000000-0004-0000-0100-000001000000}"/>
    <hyperlink ref="B16" location="'Table 3'!A1" display="Table 3: Dwelling Starts in Urban Centres and Canada, Seasonally Adjusted at Annual Rates " xr:uid="{00000000-0004-0000-0100-000002000000}"/>
    <hyperlink ref="B18" location="'Table 4'!A1" display="Table 4: Dwelling Starts in Urban Centres, by Region, Seasonally Adjusted at Annual Rates " xr:uid="{00000000-0004-0000-0100-000003000000}"/>
    <hyperlink ref="B20" location="'Table 5'!A1" display="Table 5: Dwelling Starts in Urban Centres,  by Region, Seasonally Adjusted at Annual Rates " xr:uid="{00000000-0004-0000-0100-000004000000}"/>
    <hyperlink ref="B22" location="'Table 6'!A1" display="Table 6: Dwelling Starts in Urban Centres, Atlantic Provinces, Seasonally Adjusted at Annual Rates " xr:uid="{00000000-0004-0000-0100-000005000000}"/>
    <hyperlink ref="B24" location="'Table 7'!A1" display="Table 7: Dwelling Starts in Urban Centres, Prairie Provinces, Seasonally Adjusted at Annual Rates" xr:uid="{00000000-0004-0000-0100-000006000000}"/>
    <hyperlink ref="B26" location="'Table 8'!A1" display="Table 8 to Table 15: Dwelling Starts - Seasonally Adjusted at Annual Rates" xr:uid="{00000000-0004-0000-0100-000007000000}"/>
    <hyperlink ref="B36" location="'Survey Coverage'!A1" display="Survey Coverage" xr:uid="{00000000-0004-0000-0100-000008000000}"/>
    <hyperlink ref="B38" location="Definitions!A1" display="Concepts and Definitions " xr:uid="{00000000-0004-0000-0100-000009000000}"/>
    <hyperlink ref="B40" location="'Type of Dwelling'!A1" display="Type of Dwelling" xr:uid="{00000000-0004-0000-0100-00000A000000}"/>
    <hyperlink ref="B28" location="'Table 16'!Print_Area" display="Table 16: Absorption of Homeowner and Condominium Units by Dwelling Type,in Metropolitan Areas, Large Urban Centres and Census Agglomerations" xr:uid="{00000000-0004-0000-0100-00000B000000}"/>
    <hyperlink ref="B30" location="'Tables 17-18'!Print_Area" display="Table 17-18: Dwelling Starts in Urban Centres and Canada, Seasonally Adjusted at Annual Rates" xr:uid="{00000000-0004-0000-0100-00000C000000}"/>
    <hyperlink ref="B32" location="'Tables 19-20'!Print_Area" display="Table 19-20: Dwelling Starts in Canada1, Atlantic Provinces, Seasonally Adjusted at Annual Rates" xr:uid="{00000000-0004-0000-0100-00000D000000}"/>
    <hyperlink ref="B34" location="Symbols!A1" display="Symbols  " xr:uid="{00000000-0004-0000-0100-00000E000000}"/>
    <hyperlink ref="B10" location="Notes!A1" display="Note to readers " xr:uid="{00000000-0004-0000-0100-00000F000000}"/>
  </hyperlink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34FA58-5A3D-49F1-B7FF-3571F6F6E498}">
  <dimension ref="A1:A5"/>
  <sheetViews>
    <sheetView workbookViewId="0"/>
  </sheetViews>
  <sheetFormatPr defaultColWidth="8.88671875" defaultRowHeight="15"/>
  <cols>
    <col min="1" max="1" width="129.6640625" style="592" customWidth="1"/>
    <col min="2" max="2" width="8.88671875" style="592" customWidth="1"/>
    <col min="3" max="16384" width="8.88671875" style="592"/>
  </cols>
  <sheetData>
    <row r="1" spans="1:1">
      <c r="A1" s="608" t="s">
        <v>208</v>
      </c>
    </row>
    <row r="2" spans="1:1" ht="42.75" customHeight="1">
      <c r="A2" s="609" t="s">
        <v>233</v>
      </c>
    </row>
    <row r="3" spans="1:1">
      <c r="A3" s="610" t="s">
        <v>234</v>
      </c>
    </row>
    <row r="5" spans="1:1" ht="15.75">
      <c r="A5" s="717" t="s">
        <v>235</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V119"/>
  <sheetViews>
    <sheetView zoomScale="85" zoomScaleNormal="85" workbookViewId="0"/>
  </sheetViews>
  <sheetFormatPr defaultColWidth="9.6640625" defaultRowHeight="15"/>
  <cols>
    <col min="1" max="4" width="7.6640625" style="7" customWidth="1"/>
    <col min="5" max="5" width="4.6640625" style="7" customWidth="1"/>
    <col min="6" max="7" width="7.6640625" style="7" customWidth="1"/>
    <col min="8" max="8" width="4.88671875" style="7" customWidth="1"/>
    <col min="9" max="10" width="7.6640625" style="7" customWidth="1"/>
    <col min="11" max="11" width="4.6640625" style="7" customWidth="1"/>
    <col min="12" max="16384" width="9.6640625" style="7"/>
  </cols>
  <sheetData>
    <row r="1" spans="1:256" ht="15.95" customHeight="1">
      <c r="A1" s="484" t="s">
        <v>143</v>
      </c>
      <c r="B1" s="485"/>
      <c r="C1" s="485"/>
      <c r="D1" s="485"/>
      <c r="E1" s="485"/>
      <c r="F1" s="485"/>
      <c r="G1" s="485"/>
      <c r="H1" s="485"/>
      <c r="I1" s="485"/>
      <c r="J1" s="485"/>
      <c r="K1" s="486"/>
      <c r="L1" s="1"/>
      <c r="M1" s="1"/>
      <c r="N1" s="1"/>
      <c r="O1" s="1"/>
      <c r="P1" s="1"/>
      <c r="Q1" s="1"/>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c r="GH1" s="2"/>
      <c r="GI1" s="2"/>
      <c r="GJ1" s="2"/>
      <c r="GK1" s="2"/>
      <c r="GL1" s="2"/>
      <c r="GM1" s="2"/>
      <c r="GN1" s="2"/>
      <c r="GO1" s="2"/>
      <c r="GP1" s="2"/>
      <c r="GQ1" s="2"/>
      <c r="GR1" s="2"/>
      <c r="GS1" s="2"/>
      <c r="GT1" s="2"/>
      <c r="GU1" s="2"/>
      <c r="GV1" s="2"/>
      <c r="GW1" s="2"/>
      <c r="GX1" s="2"/>
      <c r="GY1" s="2"/>
      <c r="GZ1" s="2"/>
      <c r="HA1" s="2"/>
      <c r="HB1" s="2"/>
      <c r="HC1" s="2"/>
      <c r="HD1" s="2"/>
      <c r="HE1" s="2"/>
      <c r="HF1" s="2"/>
      <c r="HG1" s="2"/>
      <c r="HH1" s="2"/>
      <c r="HI1" s="2"/>
      <c r="HJ1" s="2"/>
      <c r="HK1" s="2"/>
      <c r="HL1" s="2"/>
      <c r="HM1" s="2"/>
      <c r="HN1" s="2"/>
      <c r="HO1" s="2"/>
      <c r="HP1" s="2"/>
      <c r="HQ1" s="2"/>
      <c r="HR1" s="2"/>
      <c r="HS1" s="2"/>
      <c r="HT1" s="2"/>
      <c r="HU1" s="2"/>
      <c r="HV1" s="2"/>
      <c r="HW1" s="2"/>
      <c r="HX1" s="2"/>
      <c r="HY1" s="2"/>
      <c r="HZ1" s="2"/>
      <c r="IA1" s="2"/>
      <c r="IB1" s="2"/>
      <c r="IC1" s="2"/>
      <c r="ID1" s="2"/>
      <c r="IE1" s="2"/>
      <c r="IF1" s="2"/>
      <c r="IG1" s="2"/>
      <c r="IH1" s="2"/>
      <c r="II1" s="2"/>
      <c r="IJ1" s="2"/>
      <c r="IK1" s="2"/>
      <c r="IL1" s="2"/>
      <c r="IM1" s="2"/>
      <c r="IN1" s="2"/>
      <c r="IO1" s="2"/>
      <c r="IP1" s="2"/>
      <c r="IQ1" s="2"/>
      <c r="IR1" s="2"/>
      <c r="IS1" s="2"/>
      <c r="IT1" s="2"/>
      <c r="IU1" s="2"/>
      <c r="IV1" s="2"/>
    </row>
    <row r="2" spans="1:256" ht="15.95" customHeight="1">
      <c r="A2" s="487" t="str">
        <f>Titles!A2</f>
        <v>Housing Start Data in Centres 10,000 Population and Over</v>
      </c>
      <c r="B2" s="488"/>
      <c r="C2" s="488"/>
      <c r="D2" s="488"/>
      <c r="E2" s="488"/>
      <c r="F2" s="488"/>
      <c r="G2" s="488"/>
      <c r="H2" s="488"/>
      <c r="I2" s="488"/>
      <c r="J2" s="488"/>
      <c r="K2" s="489"/>
      <c r="L2" s="1"/>
      <c r="M2" s="1"/>
      <c r="N2" s="1"/>
      <c r="O2" s="1"/>
      <c r="P2" s="1"/>
      <c r="Q2" s="1"/>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2"/>
      <c r="DY2" s="2"/>
      <c r="DZ2" s="2"/>
      <c r="EA2" s="2"/>
      <c r="EB2" s="2"/>
      <c r="EC2" s="2"/>
      <c r="ED2" s="2"/>
      <c r="EE2" s="2"/>
      <c r="EF2" s="2"/>
      <c r="EG2" s="2"/>
      <c r="EH2" s="2"/>
      <c r="EI2" s="2"/>
      <c r="EJ2" s="2"/>
      <c r="EK2" s="2"/>
      <c r="EL2" s="2"/>
      <c r="EM2" s="2"/>
      <c r="EN2" s="2"/>
      <c r="EO2" s="2"/>
      <c r="EP2" s="2"/>
      <c r="EQ2" s="2"/>
      <c r="ER2" s="2"/>
      <c r="ES2" s="2"/>
      <c r="ET2" s="2"/>
      <c r="EU2" s="2"/>
      <c r="EV2" s="2"/>
      <c r="EW2" s="2"/>
      <c r="EX2" s="2"/>
      <c r="EY2" s="2"/>
      <c r="EZ2" s="2"/>
      <c r="FA2" s="2"/>
      <c r="FB2" s="2"/>
      <c r="FC2" s="2"/>
      <c r="FD2" s="2"/>
      <c r="FE2" s="2"/>
      <c r="FF2" s="2"/>
      <c r="FG2" s="2"/>
      <c r="FH2" s="2"/>
      <c r="FI2" s="2"/>
      <c r="FJ2" s="2"/>
      <c r="FK2" s="2"/>
      <c r="FL2" s="2"/>
      <c r="FM2" s="2"/>
      <c r="FN2" s="2"/>
      <c r="FO2" s="2"/>
      <c r="FP2" s="2"/>
      <c r="FQ2" s="2"/>
      <c r="FR2" s="2"/>
      <c r="FS2" s="2"/>
      <c r="FT2" s="2"/>
      <c r="FU2" s="2"/>
      <c r="FV2" s="2"/>
      <c r="FW2" s="2"/>
      <c r="FX2" s="2"/>
      <c r="FY2" s="2"/>
      <c r="FZ2" s="2"/>
      <c r="GA2" s="2"/>
      <c r="GB2" s="2"/>
      <c r="GC2" s="2"/>
      <c r="GD2" s="2"/>
      <c r="GE2" s="2"/>
      <c r="GF2" s="2"/>
      <c r="GG2" s="2"/>
      <c r="GH2" s="2"/>
      <c r="GI2" s="2"/>
      <c r="GJ2" s="2"/>
      <c r="GK2" s="2"/>
      <c r="GL2" s="2"/>
      <c r="GM2" s="2"/>
      <c r="GN2" s="2"/>
      <c r="GO2" s="2"/>
      <c r="GP2" s="2"/>
      <c r="GQ2" s="2"/>
      <c r="GR2" s="2"/>
      <c r="GS2" s="2"/>
      <c r="GT2" s="2"/>
      <c r="GU2" s="2"/>
      <c r="GV2" s="2"/>
      <c r="GW2" s="2"/>
      <c r="GX2" s="2"/>
      <c r="GY2" s="2"/>
      <c r="GZ2" s="2"/>
      <c r="HA2" s="2"/>
      <c r="HB2" s="2"/>
      <c r="HC2" s="2"/>
      <c r="HD2" s="2"/>
      <c r="HE2" s="2"/>
      <c r="HF2" s="2"/>
      <c r="HG2" s="2"/>
      <c r="HH2" s="2"/>
      <c r="HI2" s="2"/>
      <c r="HJ2" s="2"/>
      <c r="HK2" s="2"/>
      <c r="HL2" s="2"/>
      <c r="HM2" s="2"/>
      <c r="HN2" s="2"/>
      <c r="HO2" s="2"/>
      <c r="HP2" s="2"/>
      <c r="HQ2" s="2"/>
      <c r="HR2" s="2"/>
      <c r="HS2" s="2"/>
      <c r="HT2" s="2"/>
      <c r="HU2" s="2"/>
      <c r="HV2" s="2"/>
      <c r="HW2" s="2"/>
      <c r="HX2" s="2"/>
      <c r="HY2" s="2"/>
      <c r="HZ2" s="2"/>
      <c r="IA2" s="2"/>
      <c r="IB2" s="2"/>
      <c r="IC2" s="2"/>
      <c r="ID2" s="2"/>
      <c r="IE2" s="2"/>
      <c r="IF2" s="2"/>
      <c r="IG2" s="2"/>
      <c r="IH2" s="2"/>
      <c r="II2" s="2"/>
      <c r="IJ2" s="2"/>
      <c r="IK2" s="2"/>
      <c r="IL2" s="2"/>
      <c r="IM2" s="2"/>
      <c r="IN2" s="2"/>
      <c r="IO2" s="2"/>
      <c r="IP2" s="2"/>
      <c r="IQ2" s="2"/>
      <c r="IR2" s="2"/>
      <c r="IS2" s="2"/>
      <c r="IT2" s="2"/>
      <c r="IU2" s="2"/>
      <c r="IV2" s="2"/>
    </row>
    <row r="3" spans="1:256" ht="15.95" customHeight="1">
      <c r="A3" s="519"/>
      <c r="B3" s="520"/>
      <c r="C3" s="520"/>
      <c r="D3" s="520"/>
      <c r="E3" s="520"/>
      <c r="F3" s="520"/>
      <c r="G3" s="520"/>
      <c r="H3" s="520"/>
      <c r="I3" s="520"/>
      <c r="J3" s="520"/>
      <c r="K3" s="521"/>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c r="DF3" s="2"/>
      <c r="DG3" s="2"/>
      <c r="DH3" s="2"/>
      <c r="DI3" s="2"/>
      <c r="DJ3" s="2"/>
      <c r="DK3" s="2"/>
      <c r="DL3" s="2"/>
      <c r="DM3" s="2"/>
      <c r="DN3" s="2"/>
      <c r="DO3" s="2"/>
      <c r="DP3" s="2"/>
      <c r="DQ3" s="2"/>
      <c r="DR3" s="2"/>
      <c r="DS3" s="2"/>
      <c r="DT3" s="2"/>
      <c r="DU3" s="2"/>
      <c r="DV3" s="2"/>
      <c r="DW3" s="2"/>
      <c r="DX3" s="2"/>
      <c r="DY3" s="2"/>
      <c r="DZ3" s="2"/>
      <c r="EA3" s="2"/>
      <c r="EB3" s="2"/>
      <c r="EC3" s="2"/>
      <c r="ED3" s="2"/>
      <c r="EE3" s="2"/>
      <c r="EF3" s="2"/>
      <c r="EG3" s="2"/>
      <c r="EH3" s="2"/>
      <c r="EI3" s="2"/>
      <c r="EJ3" s="2"/>
      <c r="EK3" s="2"/>
      <c r="EL3" s="2"/>
      <c r="EM3" s="2"/>
      <c r="EN3" s="2"/>
      <c r="EO3" s="2"/>
      <c r="EP3" s="2"/>
      <c r="EQ3" s="2"/>
      <c r="ER3" s="2"/>
      <c r="ES3" s="2"/>
      <c r="ET3" s="2"/>
      <c r="EU3" s="2"/>
      <c r="EV3" s="2"/>
      <c r="EW3" s="2"/>
      <c r="EX3" s="2"/>
      <c r="EY3" s="2"/>
      <c r="EZ3" s="2"/>
      <c r="FA3" s="2"/>
      <c r="FB3" s="2"/>
      <c r="FC3" s="2"/>
      <c r="FD3" s="2"/>
      <c r="FE3" s="2"/>
      <c r="FF3" s="2"/>
      <c r="FG3" s="2"/>
      <c r="FH3" s="2"/>
      <c r="FI3" s="2"/>
      <c r="FJ3" s="2"/>
      <c r="FK3" s="2"/>
      <c r="FL3" s="2"/>
      <c r="FM3" s="2"/>
      <c r="FN3" s="2"/>
      <c r="FO3" s="2"/>
      <c r="FP3" s="2"/>
      <c r="FQ3" s="2"/>
      <c r="FR3" s="2"/>
      <c r="FS3" s="2"/>
      <c r="FT3" s="2"/>
      <c r="FU3" s="2"/>
      <c r="FV3" s="2"/>
      <c r="FW3" s="2"/>
      <c r="FX3" s="2"/>
      <c r="FY3" s="2"/>
      <c r="FZ3" s="2"/>
      <c r="GA3" s="2"/>
      <c r="GB3" s="2"/>
      <c r="GC3" s="2"/>
      <c r="GD3" s="2"/>
      <c r="GE3" s="2"/>
      <c r="GF3" s="2"/>
      <c r="GG3" s="2"/>
      <c r="GH3" s="2"/>
      <c r="GI3" s="2"/>
      <c r="GJ3" s="2"/>
      <c r="GK3" s="2"/>
      <c r="GL3" s="2"/>
      <c r="GM3" s="2"/>
      <c r="GN3" s="2"/>
      <c r="GO3" s="2"/>
      <c r="GP3" s="2"/>
      <c r="GQ3" s="2"/>
      <c r="GR3" s="2"/>
      <c r="GS3" s="2"/>
      <c r="GT3" s="2"/>
      <c r="GU3" s="2"/>
      <c r="GV3" s="2"/>
      <c r="GW3" s="2"/>
      <c r="GX3" s="2"/>
      <c r="GY3" s="2"/>
      <c r="GZ3" s="2"/>
      <c r="HA3" s="2"/>
      <c r="HB3" s="2"/>
      <c r="HC3" s="2"/>
      <c r="HD3" s="2"/>
      <c r="HE3" s="2"/>
      <c r="HF3" s="2"/>
      <c r="HG3" s="2"/>
      <c r="HH3" s="2"/>
      <c r="HI3" s="2"/>
      <c r="HJ3" s="2"/>
      <c r="HK3" s="2"/>
      <c r="HL3" s="2"/>
      <c r="HM3" s="2"/>
      <c r="HN3" s="2"/>
      <c r="HO3" s="2"/>
      <c r="HP3" s="2"/>
      <c r="HQ3" s="2"/>
      <c r="HR3" s="2"/>
      <c r="HS3" s="2"/>
      <c r="HT3" s="2"/>
      <c r="HU3" s="2"/>
      <c r="HV3" s="2"/>
      <c r="HW3" s="2"/>
      <c r="HX3" s="2"/>
      <c r="HY3" s="2"/>
      <c r="HZ3" s="2"/>
      <c r="IA3" s="2"/>
      <c r="IB3" s="2"/>
      <c r="IC3" s="2"/>
      <c r="ID3" s="2"/>
      <c r="IE3" s="2"/>
      <c r="IF3" s="2"/>
      <c r="IG3" s="2"/>
      <c r="IH3" s="2"/>
      <c r="II3" s="2"/>
      <c r="IJ3" s="2"/>
      <c r="IK3" s="2"/>
      <c r="IL3" s="2"/>
      <c r="IM3" s="2"/>
      <c r="IN3" s="2"/>
      <c r="IO3" s="2"/>
      <c r="IP3" s="2"/>
      <c r="IQ3" s="2"/>
      <c r="IR3" s="2"/>
      <c r="IS3" s="2"/>
      <c r="IT3" s="2"/>
      <c r="IU3" s="2"/>
      <c r="IV3" s="2"/>
    </row>
    <row r="4" spans="1:256" ht="15.95" customHeight="1" thickBot="1">
      <c r="A4" s="490" t="str">
        <f>Titles!A4</f>
        <v>December 2020 - 2021</v>
      </c>
      <c r="B4" s="491"/>
      <c r="C4" s="491"/>
      <c r="D4" s="491"/>
      <c r="E4" s="491"/>
      <c r="F4" s="491"/>
      <c r="G4" s="491"/>
      <c r="H4" s="491"/>
      <c r="I4" s="491"/>
      <c r="J4" s="491"/>
      <c r="K4" s="49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c r="DE4" s="2"/>
      <c r="DF4" s="2"/>
      <c r="DG4" s="2"/>
      <c r="DH4" s="2"/>
      <c r="DI4" s="2"/>
      <c r="DJ4" s="2"/>
      <c r="DK4" s="2"/>
      <c r="DL4" s="2"/>
      <c r="DM4" s="2"/>
      <c r="DN4" s="2"/>
      <c r="DO4" s="2"/>
      <c r="DP4" s="2"/>
      <c r="DQ4" s="2"/>
      <c r="DR4" s="2"/>
      <c r="DS4" s="2"/>
      <c r="DT4" s="2"/>
      <c r="DU4" s="2"/>
      <c r="DV4" s="2"/>
      <c r="DW4" s="2"/>
      <c r="DX4" s="2"/>
      <c r="DY4" s="2"/>
      <c r="DZ4" s="2"/>
      <c r="EA4" s="2"/>
      <c r="EB4" s="2"/>
      <c r="EC4" s="2"/>
      <c r="ED4" s="2"/>
      <c r="EE4" s="2"/>
      <c r="EF4" s="2"/>
      <c r="EG4" s="2"/>
      <c r="EH4" s="2"/>
      <c r="EI4" s="2"/>
      <c r="EJ4" s="2"/>
      <c r="EK4" s="2"/>
      <c r="EL4" s="2"/>
      <c r="EM4" s="2"/>
      <c r="EN4" s="2"/>
      <c r="EO4" s="2"/>
      <c r="EP4" s="2"/>
      <c r="EQ4" s="2"/>
      <c r="ER4" s="2"/>
      <c r="ES4" s="2"/>
      <c r="ET4" s="2"/>
      <c r="EU4" s="2"/>
      <c r="EV4" s="2"/>
      <c r="EW4" s="2"/>
      <c r="EX4" s="2"/>
      <c r="EY4" s="2"/>
      <c r="EZ4" s="2"/>
      <c r="FA4" s="2"/>
      <c r="FB4" s="2"/>
      <c r="FC4" s="2"/>
      <c r="FD4" s="2"/>
      <c r="FE4" s="2"/>
      <c r="FF4" s="2"/>
      <c r="FG4" s="2"/>
      <c r="FH4" s="2"/>
      <c r="FI4" s="2"/>
      <c r="FJ4" s="2"/>
      <c r="FK4" s="2"/>
      <c r="FL4" s="2"/>
      <c r="FM4" s="2"/>
      <c r="FN4" s="2"/>
      <c r="FO4" s="2"/>
      <c r="FP4" s="2"/>
      <c r="FQ4" s="2"/>
      <c r="FR4" s="2"/>
      <c r="FS4" s="2"/>
      <c r="FT4" s="2"/>
      <c r="FU4" s="2"/>
      <c r="FV4" s="2"/>
      <c r="FW4" s="2"/>
      <c r="FX4" s="2"/>
      <c r="FY4" s="2"/>
      <c r="FZ4" s="2"/>
      <c r="GA4" s="2"/>
      <c r="GB4" s="2"/>
      <c r="GC4" s="2"/>
      <c r="GD4" s="2"/>
      <c r="GE4" s="2"/>
      <c r="GF4" s="2"/>
      <c r="GG4" s="2"/>
      <c r="GH4" s="2"/>
      <c r="GI4" s="2"/>
      <c r="GJ4" s="2"/>
      <c r="GK4" s="2"/>
      <c r="GL4" s="2"/>
      <c r="GM4" s="2"/>
      <c r="GN4" s="2"/>
      <c r="GO4" s="2"/>
      <c r="GP4" s="2"/>
      <c r="GQ4" s="2"/>
      <c r="GR4" s="2"/>
      <c r="GS4" s="2"/>
      <c r="GT4" s="2"/>
      <c r="GU4" s="2"/>
      <c r="GV4" s="2"/>
      <c r="GW4" s="2"/>
      <c r="GX4" s="2"/>
      <c r="GY4" s="2"/>
      <c r="GZ4" s="2"/>
      <c r="HA4" s="2"/>
      <c r="HB4" s="2"/>
      <c r="HC4" s="2"/>
      <c r="HD4" s="2"/>
      <c r="HE4" s="2"/>
      <c r="HF4" s="2"/>
      <c r="HG4" s="2"/>
      <c r="HH4" s="2"/>
      <c r="HI4" s="2"/>
      <c r="HJ4" s="2"/>
      <c r="HK4" s="2"/>
      <c r="HL4" s="2"/>
      <c r="HM4" s="2"/>
      <c r="HN4" s="2"/>
      <c r="HO4" s="2"/>
      <c r="HP4" s="2"/>
      <c r="HQ4" s="2"/>
      <c r="HR4" s="2"/>
      <c r="HS4" s="2"/>
      <c r="HT4" s="2"/>
      <c r="HU4" s="2"/>
      <c r="HV4" s="2"/>
      <c r="HW4" s="2"/>
      <c r="HX4" s="2"/>
      <c r="HY4" s="2"/>
      <c r="HZ4" s="2"/>
      <c r="IA4" s="2"/>
      <c r="IB4" s="2"/>
      <c r="IC4" s="2"/>
      <c r="ID4" s="2"/>
      <c r="IE4" s="2"/>
      <c r="IF4" s="2"/>
      <c r="IG4" s="2"/>
      <c r="IH4" s="2"/>
      <c r="II4" s="2"/>
      <c r="IJ4" s="2"/>
      <c r="IK4" s="2"/>
      <c r="IL4" s="2"/>
      <c r="IM4" s="2"/>
      <c r="IN4" s="2"/>
      <c r="IO4" s="2"/>
      <c r="IP4" s="2"/>
      <c r="IQ4" s="2"/>
      <c r="IR4" s="2"/>
      <c r="IS4" s="2"/>
      <c r="IT4" s="2"/>
      <c r="IU4" s="2"/>
      <c r="IV4" s="2"/>
    </row>
    <row r="5" spans="1:256" ht="11.1" customHeight="1">
      <c r="A5" s="48" t="s">
        <v>0</v>
      </c>
      <c r="B5" s="56"/>
      <c r="C5" s="709" t="s">
        <v>50</v>
      </c>
      <c r="D5" s="710"/>
      <c r="E5" s="711"/>
      <c r="F5" s="709" t="s">
        <v>49</v>
      </c>
      <c r="G5" s="710"/>
      <c r="H5" s="711"/>
      <c r="I5" s="709" t="s">
        <v>46</v>
      </c>
      <c r="J5" s="710"/>
      <c r="K5" s="715"/>
      <c r="L5" s="8"/>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c r="DD5" s="2"/>
      <c r="DE5" s="2"/>
      <c r="DF5" s="2"/>
      <c r="DG5" s="2"/>
      <c r="DH5" s="2"/>
      <c r="DI5" s="2"/>
      <c r="DJ5" s="2"/>
      <c r="DK5" s="2"/>
      <c r="DL5" s="2"/>
      <c r="DM5" s="2"/>
      <c r="DN5" s="2"/>
      <c r="DO5" s="2"/>
      <c r="DP5" s="2"/>
      <c r="DQ5" s="2"/>
      <c r="DR5" s="2"/>
      <c r="DS5" s="2"/>
      <c r="DT5" s="2"/>
      <c r="DU5" s="2"/>
      <c r="DV5" s="2"/>
      <c r="DW5" s="2"/>
      <c r="DX5" s="2"/>
      <c r="DY5" s="2"/>
      <c r="DZ5" s="2"/>
      <c r="EA5" s="2"/>
      <c r="EB5" s="2"/>
      <c r="EC5" s="2"/>
      <c r="ED5" s="2"/>
      <c r="EE5" s="2"/>
      <c r="EF5" s="2"/>
      <c r="EG5" s="2"/>
      <c r="EH5" s="2"/>
      <c r="EI5" s="2"/>
      <c r="EJ5" s="2"/>
      <c r="EK5" s="2"/>
      <c r="EL5" s="2"/>
      <c r="EM5" s="2"/>
      <c r="EN5" s="2"/>
      <c r="EO5" s="2"/>
      <c r="EP5" s="2"/>
      <c r="EQ5" s="2"/>
      <c r="ER5" s="2"/>
      <c r="ES5" s="2"/>
      <c r="ET5" s="2"/>
      <c r="EU5" s="2"/>
      <c r="EV5" s="2"/>
      <c r="EW5" s="2"/>
      <c r="EX5" s="2"/>
      <c r="EY5" s="2"/>
      <c r="EZ5" s="2"/>
      <c r="FA5" s="2"/>
      <c r="FB5" s="2"/>
      <c r="FC5" s="2"/>
      <c r="FD5" s="2"/>
      <c r="FE5" s="2"/>
      <c r="FF5" s="2"/>
      <c r="FG5" s="2"/>
      <c r="FH5" s="2"/>
      <c r="FI5" s="2"/>
      <c r="FJ5" s="2"/>
      <c r="FK5" s="2"/>
      <c r="FL5" s="2"/>
      <c r="FM5" s="2"/>
      <c r="FN5" s="2"/>
      <c r="FO5" s="2"/>
      <c r="FP5" s="2"/>
      <c r="FQ5" s="2"/>
      <c r="FR5" s="2"/>
      <c r="FS5" s="2"/>
      <c r="FT5" s="2"/>
      <c r="FU5" s="2"/>
      <c r="FV5" s="2"/>
      <c r="FW5" s="2"/>
      <c r="FX5" s="2"/>
      <c r="FY5" s="2"/>
      <c r="FZ5" s="2"/>
      <c r="GA5" s="2"/>
      <c r="GB5" s="2"/>
      <c r="GC5" s="2"/>
      <c r="GD5" s="2"/>
      <c r="GE5" s="2"/>
      <c r="GF5" s="2"/>
      <c r="GG5" s="2"/>
      <c r="GH5" s="2"/>
      <c r="GI5" s="2"/>
      <c r="GJ5" s="2"/>
      <c r="GK5" s="2"/>
      <c r="GL5" s="2"/>
      <c r="GM5" s="2"/>
      <c r="GN5" s="2"/>
      <c r="GO5" s="2"/>
      <c r="GP5" s="2"/>
      <c r="GQ5" s="2"/>
      <c r="GR5" s="2"/>
      <c r="GS5" s="2"/>
      <c r="GT5" s="2"/>
      <c r="GU5" s="2"/>
      <c r="GV5" s="2"/>
      <c r="GW5" s="2"/>
      <c r="GX5" s="2"/>
      <c r="GY5" s="2"/>
      <c r="GZ5" s="2"/>
      <c r="HA5" s="2"/>
      <c r="HB5" s="2"/>
      <c r="HC5" s="2"/>
      <c r="HD5" s="2"/>
      <c r="HE5" s="2"/>
      <c r="HF5" s="2"/>
      <c r="HG5" s="2"/>
      <c r="HH5" s="2"/>
      <c r="HI5" s="2"/>
      <c r="HJ5" s="2"/>
      <c r="HK5" s="2"/>
      <c r="HL5" s="2"/>
      <c r="HM5" s="2"/>
      <c r="HN5" s="2"/>
      <c r="HO5" s="2"/>
      <c r="HP5" s="2"/>
      <c r="HQ5" s="2"/>
      <c r="HR5" s="2"/>
      <c r="HS5" s="2"/>
      <c r="HT5" s="2"/>
      <c r="HU5" s="2"/>
      <c r="HV5" s="2"/>
      <c r="HW5" s="2"/>
      <c r="HX5" s="2"/>
      <c r="HY5" s="2"/>
      <c r="HZ5" s="2"/>
      <c r="IA5" s="2"/>
      <c r="IB5" s="2"/>
      <c r="IC5" s="2"/>
      <c r="ID5" s="2"/>
      <c r="IE5" s="2"/>
      <c r="IF5" s="2"/>
      <c r="IG5" s="2"/>
      <c r="IH5" s="2"/>
      <c r="II5" s="2"/>
      <c r="IJ5" s="2"/>
      <c r="IK5" s="2"/>
      <c r="IL5" s="2"/>
      <c r="IM5" s="2"/>
      <c r="IN5" s="2"/>
      <c r="IO5" s="2"/>
      <c r="IP5" s="2"/>
      <c r="IQ5" s="2"/>
      <c r="IR5" s="2"/>
      <c r="IS5" s="2"/>
      <c r="IT5" s="2"/>
      <c r="IU5" s="2"/>
      <c r="IV5" s="2"/>
    </row>
    <row r="6" spans="1:256" ht="11.1" customHeight="1">
      <c r="A6" s="49" t="s">
        <v>1</v>
      </c>
      <c r="B6" s="56"/>
      <c r="C6" s="712"/>
      <c r="D6" s="713"/>
      <c r="E6" s="714"/>
      <c r="F6" s="712"/>
      <c r="G6" s="713"/>
      <c r="H6" s="714"/>
      <c r="I6" s="712"/>
      <c r="J6" s="713"/>
      <c r="K6" s="716"/>
      <c r="L6" s="8"/>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c r="CL6" s="2"/>
      <c r="CM6" s="2"/>
      <c r="CN6" s="2"/>
      <c r="CO6" s="2"/>
      <c r="CP6" s="2"/>
      <c r="CQ6" s="2"/>
      <c r="CR6" s="2"/>
      <c r="CS6" s="2"/>
      <c r="CT6" s="2"/>
      <c r="CU6" s="2"/>
      <c r="CV6" s="2"/>
      <c r="CW6" s="2"/>
      <c r="CX6" s="2"/>
      <c r="CY6" s="2"/>
      <c r="CZ6" s="2"/>
      <c r="DA6" s="2"/>
      <c r="DB6" s="2"/>
      <c r="DC6" s="2"/>
      <c r="DD6" s="2"/>
      <c r="DE6" s="2"/>
      <c r="DF6" s="2"/>
      <c r="DG6" s="2"/>
      <c r="DH6" s="2"/>
      <c r="DI6" s="2"/>
      <c r="DJ6" s="2"/>
      <c r="DK6" s="2"/>
      <c r="DL6" s="2"/>
      <c r="DM6" s="2"/>
      <c r="DN6" s="2"/>
      <c r="DO6" s="2"/>
      <c r="DP6" s="2"/>
      <c r="DQ6" s="2"/>
      <c r="DR6" s="2"/>
      <c r="DS6" s="2"/>
      <c r="DT6" s="2"/>
      <c r="DU6" s="2"/>
      <c r="DV6" s="2"/>
      <c r="DW6" s="2"/>
      <c r="DX6" s="2"/>
      <c r="DY6" s="2"/>
      <c r="DZ6" s="2"/>
      <c r="EA6" s="2"/>
      <c r="EB6" s="2"/>
      <c r="EC6" s="2"/>
      <c r="ED6" s="2"/>
      <c r="EE6" s="2"/>
      <c r="EF6" s="2"/>
      <c r="EG6" s="2"/>
      <c r="EH6" s="2"/>
      <c r="EI6" s="2"/>
      <c r="EJ6" s="2"/>
      <c r="EK6" s="2"/>
      <c r="EL6" s="2"/>
      <c r="EM6" s="2"/>
      <c r="EN6" s="2"/>
      <c r="EO6" s="2"/>
      <c r="EP6" s="2"/>
      <c r="EQ6" s="2"/>
      <c r="ER6" s="2"/>
      <c r="ES6" s="2"/>
      <c r="ET6" s="2"/>
      <c r="EU6" s="2"/>
      <c r="EV6" s="2"/>
      <c r="EW6" s="2"/>
      <c r="EX6" s="2"/>
      <c r="EY6" s="2"/>
      <c r="EZ6" s="2"/>
      <c r="FA6" s="2"/>
      <c r="FB6" s="2"/>
      <c r="FC6" s="2"/>
      <c r="FD6" s="2"/>
      <c r="FE6" s="2"/>
      <c r="FF6" s="2"/>
      <c r="FG6" s="2"/>
      <c r="FH6" s="2"/>
      <c r="FI6" s="2"/>
      <c r="FJ6" s="2"/>
      <c r="FK6" s="2"/>
      <c r="FL6" s="2"/>
      <c r="FM6" s="2"/>
      <c r="FN6" s="2"/>
      <c r="FO6" s="2"/>
      <c r="FP6" s="2"/>
      <c r="FQ6" s="2"/>
      <c r="FR6" s="2"/>
      <c r="FS6" s="2"/>
      <c r="FT6" s="2"/>
      <c r="FU6" s="2"/>
      <c r="FV6" s="2"/>
      <c r="FW6" s="2"/>
      <c r="FX6" s="2"/>
      <c r="FY6" s="2"/>
      <c r="FZ6" s="2"/>
      <c r="GA6" s="2"/>
      <c r="GB6" s="2"/>
      <c r="GC6" s="2"/>
      <c r="GD6" s="2"/>
      <c r="GE6" s="2"/>
      <c r="GF6" s="2"/>
      <c r="GG6" s="2"/>
      <c r="GH6" s="2"/>
      <c r="GI6" s="2"/>
      <c r="GJ6" s="2"/>
      <c r="GK6" s="2"/>
      <c r="GL6" s="2"/>
      <c r="GM6" s="2"/>
      <c r="GN6" s="2"/>
      <c r="GO6" s="2"/>
      <c r="GP6" s="2"/>
      <c r="GQ6" s="2"/>
      <c r="GR6" s="2"/>
      <c r="GS6" s="2"/>
      <c r="GT6" s="2"/>
      <c r="GU6" s="2"/>
      <c r="GV6" s="2"/>
      <c r="GW6" s="2"/>
      <c r="GX6" s="2"/>
      <c r="GY6" s="2"/>
      <c r="GZ6" s="2"/>
      <c r="HA6" s="2"/>
      <c r="HB6" s="2"/>
      <c r="HC6" s="2"/>
      <c r="HD6" s="2"/>
      <c r="HE6" s="2"/>
      <c r="HF6" s="2"/>
      <c r="HG6" s="2"/>
      <c r="HH6" s="2"/>
      <c r="HI6" s="2"/>
      <c r="HJ6" s="2"/>
      <c r="HK6" s="2"/>
      <c r="HL6" s="2"/>
      <c r="HM6" s="2"/>
      <c r="HN6" s="2"/>
      <c r="HO6" s="2"/>
      <c r="HP6" s="2"/>
      <c r="HQ6" s="2"/>
      <c r="HR6" s="2"/>
      <c r="HS6" s="2"/>
      <c r="HT6" s="2"/>
      <c r="HU6" s="2"/>
      <c r="HV6" s="2"/>
      <c r="HW6" s="2"/>
      <c r="HX6" s="2"/>
      <c r="HY6" s="2"/>
      <c r="HZ6" s="2"/>
      <c r="IA6" s="2"/>
      <c r="IB6" s="2"/>
      <c r="IC6" s="2"/>
      <c r="ID6" s="2"/>
      <c r="IE6" s="2"/>
      <c r="IF6" s="2"/>
      <c r="IG6" s="2"/>
      <c r="IH6" s="2"/>
      <c r="II6" s="2"/>
      <c r="IJ6" s="2"/>
      <c r="IK6" s="2"/>
      <c r="IL6" s="2"/>
      <c r="IM6" s="2"/>
      <c r="IN6" s="2"/>
      <c r="IO6" s="2"/>
      <c r="IP6" s="2"/>
      <c r="IQ6" s="2"/>
      <c r="IR6" s="2"/>
      <c r="IS6" s="2"/>
      <c r="IT6" s="2"/>
      <c r="IU6" s="2"/>
      <c r="IV6" s="2"/>
    </row>
    <row r="7" spans="1:256" ht="12" customHeight="1">
      <c r="A7" s="474"/>
      <c r="B7" s="57"/>
      <c r="C7" s="14">
        <v>2020</v>
      </c>
      <c r="D7" s="14">
        <v>2021</v>
      </c>
      <c r="E7" s="15" t="s">
        <v>48</v>
      </c>
      <c r="F7" s="14">
        <v>2020</v>
      </c>
      <c r="G7" s="14">
        <v>2021</v>
      </c>
      <c r="H7" s="15" t="s">
        <v>48</v>
      </c>
      <c r="I7" s="14">
        <v>2020</v>
      </c>
      <c r="J7" s="14">
        <v>2021</v>
      </c>
      <c r="K7" s="16" t="s">
        <v>48</v>
      </c>
      <c r="L7" s="8"/>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c r="CS7" s="2"/>
      <c r="CT7" s="2"/>
      <c r="CU7" s="2"/>
      <c r="CV7" s="2"/>
      <c r="CW7" s="2"/>
      <c r="CX7" s="2"/>
      <c r="CY7" s="2"/>
      <c r="CZ7" s="2"/>
      <c r="DA7" s="2"/>
      <c r="DB7" s="2"/>
      <c r="DC7" s="2"/>
      <c r="DD7" s="2"/>
      <c r="DE7" s="2"/>
      <c r="DF7" s="2"/>
      <c r="DG7" s="2"/>
      <c r="DH7" s="2"/>
      <c r="DI7" s="2"/>
      <c r="DJ7" s="2"/>
      <c r="DK7" s="2"/>
      <c r="DL7" s="2"/>
      <c r="DM7" s="2"/>
      <c r="DN7" s="2"/>
      <c r="DO7" s="2"/>
      <c r="DP7" s="2"/>
      <c r="DQ7" s="2"/>
      <c r="DR7" s="2"/>
      <c r="DS7" s="2"/>
      <c r="DT7" s="2"/>
      <c r="DU7" s="2"/>
      <c r="DV7" s="2"/>
      <c r="DW7" s="2"/>
      <c r="DX7" s="2"/>
      <c r="DY7" s="2"/>
      <c r="DZ7" s="2"/>
      <c r="EA7" s="2"/>
      <c r="EB7" s="2"/>
      <c r="EC7" s="2"/>
      <c r="ED7" s="2"/>
      <c r="EE7" s="2"/>
      <c r="EF7" s="2"/>
      <c r="EG7" s="2"/>
      <c r="EH7" s="2"/>
      <c r="EI7" s="2"/>
      <c r="EJ7" s="2"/>
      <c r="EK7" s="2"/>
      <c r="EL7" s="2"/>
      <c r="EM7" s="2"/>
      <c r="EN7" s="2"/>
      <c r="EO7" s="2"/>
      <c r="EP7" s="2"/>
      <c r="EQ7" s="2"/>
      <c r="ER7" s="2"/>
      <c r="ES7" s="2"/>
      <c r="ET7" s="2"/>
      <c r="EU7" s="2"/>
      <c r="EV7" s="2"/>
      <c r="EW7" s="2"/>
      <c r="EX7" s="2"/>
      <c r="EY7" s="2"/>
      <c r="EZ7" s="2"/>
      <c r="FA7" s="2"/>
      <c r="FB7" s="2"/>
      <c r="FC7" s="2"/>
      <c r="FD7" s="2"/>
      <c r="FE7" s="2"/>
      <c r="FF7" s="2"/>
      <c r="FG7" s="2"/>
      <c r="FH7" s="2"/>
      <c r="FI7" s="2"/>
      <c r="FJ7" s="2"/>
      <c r="FK7" s="2"/>
      <c r="FL7" s="2"/>
      <c r="FM7" s="2"/>
      <c r="FN7" s="2"/>
      <c r="FO7" s="2"/>
      <c r="FP7" s="2"/>
      <c r="FQ7" s="2"/>
      <c r="FR7" s="2"/>
      <c r="FS7" s="2"/>
      <c r="FT7" s="2"/>
      <c r="FU7" s="2"/>
      <c r="FV7" s="2"/>
      <c r="FW7" s="2"/>
      <c r="FX7" s="2"/>
      <c r="FY7" s="2"/>
      <c r="FZ7" s="2"/>
      <c r="GA7" s="2"/>
      <c r="GB7" s="2"/>
      <c r="GC7" s="2"/>
      <c r="GD7" s="2"/>
      <c r="GE7" s="2"/>
      <c r="GF7" s="2"/>
      <c r="GG7" s="2"/>
      <c r="GH7" s="2"/>
      <c r="GI7" s="2"/>
      <c r="GJ7" s="2"/>
      <c r="GK7" s="2"/>
      <c r="GL7" s="2"/>
      <c r="GM7" s="2"/>
      <c r="GN7" s="2"/>
      <c r="GO7" s="2"/>
      <c r="GP7" s="2"/>
      <c r="GQ7" s="2"/>
      <c r="GR7" s="2"/>
      <c r="GS7" s="2"/>
      <c r="GT7" s="2"/>
      <c r="GU7" s="2"/>
      <c r="GV7" s="2"/>
      <c r="GW7" s="2"/>
      <c r="GX7" s="2"/>
      <c r="GY7" s="2"/>
      <c r="GZ7" s="2"/>
      <c r="HA7" s="2"/>
      <c r="HB7" s="2"/>
      <c r="HC7" s="2"/>
      <c r="HD7" s="2"/>
      <c r="HE7" s="2"/>
      <c r="HF7" s="2"/>
      <c r="HG7" s="2"/>
      <c r="HH7" s="2"/>
      <c r="HI7" s="2"/>
      <c r="HJ7" s="2"/>
      <c r="HK7" s="2"/>
      <c r="HL7" s="2"/>
      <c r="HM7" s="2"/>
      <c r="HN7" s="2"/>
      <c r="HO7" s="2"/>
      <c r="HP7" s="2"/>
      <c r="HQ7" s="2"/>
      <c r="HR7" s="2"/>
      <c r="HS7" s="2"/>
      <c r="HT7" s="2"/>
      <c r="HU7" s="2"/>
      <c r="HV7" s="2"/>
      <c r="HW7" s="2"/>
      <c r="HX7" s="2"/>
      <c r="HY7" s="2"/>
      <c r="HZ7" s="2"/>
      <c r="IA7" s="2"/>
      <c r="IB7" s="2"/>
      <c r="IC7" s="2"/>
      <c r="ID7" s="2"/>
      <c r="IE7" s="2"/>
      <c r="IF7" s="2"/>
      <c r="IG7" s="2"/>
      <c r="IH7" s="2"/>
      <c r="II7" s="2"/>
      <c r="IJ7" s="2"/>
      <c r="IK7" s="2"/>
      <c r="IL7" s="2"/>
      <c r="IM7" s="2"/>
      <c r="IN7" s="2"/>
      <c r="IO7" s="2"/>
      <c r="IP7" s="2"/>
      <c r="IQ7" s="2"/>
      <c r="IR7" s="2"/>
      <c r="IS7" s="2"/>
      <c r="IT7" s="2"/>
      <c r="IU7" s="2"/>
      <c r="IV7" s="2"/>
    </row>
    <row r="8" spans="1:256" ht="11.85" customHeight="1">
      <c r="A8" s="18" t="s">
        <v>2</v>
      </c>
      <c r="B8" s="19"/>
      <c r="C8" s="20">
        <v>53</v>
      </c>
      <c r="D8" s="20">
        <v>56</v>
      </c>
      <c r="E8" s="272">
        <f>IF(C8=D8,"-",IF((C8=0),"##",IF(ABS((D8/C8-1)*100)&gt;=500,"##",(D8/C8-1)*100)))</f>
        <v>5.6603773584905648</v>
      </c>
      <c r="F8" s="20">
        <v>7</v>
      </c>
      <c r="G8" s="21">
        <v>24</v>
      </c>
      <c r="H8" s="272">
        <f t="shared" ref="H8:H20" si="0">IF(F8=G8,"-",IF((F8=0),"##",IF(ABS((G8/F8-1)*100)&gt;=500,"##",(G8/F8-1)*100)))</f>
        <v>242.85714285714283</v>
      </c>
      <c r="I8" s="20">
        <f>C8+F8</f>
        <v>60</v>
      </c>
      <c r="J8" s="22">
        <f>D8+G8</f>
        <v>80</v>
      </c>
      <c r="K8" s="280">
        <f t="shared" ref="K8:K20" si="1">IF(I8=J8,"-",IF((I8=0),"##",IF(ABS((J8/I8-1)*100)&gt;=500,"##",(J8/I8-1)*100)))</f>
        <v>33.333333333333329</v>
      </c>
      <c r="L8" s="8"/>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F8" s="2"/>
      <c r="CG8" s="2"/>
      <c r="CH8" s="2"/>
      <c r="CI8" s="2"/>
      <c r="CJ8" s="2"/>
      <c r="CK8" s="2"/>
      <c r="CL8" s="2"/>
      <c r="CM8" s="2"/>
      <c r="CN8" s="2"/>
      <c r="CO8" s="2"/>
      <c r="CP8" s="2"/>
      <c r="CQ8" s="2"/>
      <c r="CR8" s="2"/>
      <c r="CS8" s="2"/>
      <c r="CT8" s="2"/>
      <c r="CU8" s="2"/>
      <c r="CV8" s="2"/>
      <c r="CW8" s="2"/>
      <c r="CX8" s="2"/>
      <c r="CY8" s="2"/>
      <c r="CZ8" s="2"/>
      <c r="DA8" s="2"/>
      <c r="DB8" s="2"/>
      <c r="DC8" s="2"/>
      <c r="DD8" s="2"/>
      <c r="DE8" s="2"/>
      <c r="DF8" s="2"/>
      <c r="DG8" s="2"/>
      <c r="DH8" s="2"/>
      <c r="DI8" s="2"/>
      <c r="DJ8" s="2"/>
      <c r="DK8" s="2"/>
      <c r="DL8" s="2"/>
      <c r="DM8" s="2"/>
      <c r="DN8" s="2"/>
      <c r="DO8" s="2"/>
      <c r="DP8" s="2"/>
      <c r="DQ8" s="2"/>
      <c r="DR8" s="2"/>
      <c r="DS8" s="2"/>
      <c r="DT8" s="2"/>
      <c r="DU8" s="2"/>
      <c r="DV8" s="2"/>
      <c r="DW8" s="2"/>
      <c r="DX8" s="2"/>
      <c r="DY8" s="2"/>
      <c r="DZ8" s="2"/>
      <c r="EA8" s="2"/>
      <c r="EB8" s="2"/>
      <c r="EC8" s="2"/>
      <c r="ED8" s="2"/>
      <c r="EE8" s="2"/>
      <c r="EF8" s="2"/>
      <c r="EG8" s="2"/>
      <c r="EH8" s="2"/>
      <c r="EI8" s="2"/>
      <c r="EJ8" s="2"/>
      <c r="EK8" s="2"/>
      <c r="EL8" s="2"/>
      <c r="EM8" s="2"/>
      <c r="EN8" s="2"/>
      <c r="EO8" s="2"/>
      <c r="EP8" s="2"/>
      <c r="EQ8" s="2"/>
      <c r="ER8" s="2"/>
      <c r="ES8" s="2"/>
      <c r="ET8" s="2"/>
      <c r="EU8" s="2"/>
      <c r="EV8" s="2"/>
      <c r="EW8" s="2"/>
      <c r="EX8" s="2"/>
      <c r="EY8" s="2"/>
      <c r="EZ8" s="2"/>
      <c r="FA8" s="2"/>
      <c r="FB8" s="2"/>
      <c r="FC8" s="2"/>
      <c r="FD8" s="2"/>
      <c r="FE8" s="2"/>
      <c r="FF8" s="2"/>
      <c r="FG8" s="2"/>
      <c r="FH8" s="2"/>
      <c r="FI8" s="2"/>
      <c r="FJ8" s="2"/>
      <c r="FK8" s="2"/>
      <c r="FL8" s="2"/>
      <c r="FM8" s="2"/>
      <c r="FN8" s="2"/>
      <c r="FO8" s="2"/>
      <c r="FP8" s="2"/>
      <c r="FQ8" s="2"/>
      <c r="FR8" s="2"/>
      <c r="FS8" s="2"/>
      <c r="FT8" s="2"/>
      <c r="FU8" s="2"/>
      <c r="FV8" s="2"/>
      <c r="FW8" s="2"/>
      <c r="FX8" s="2"/>
      <c r="FY8" s="2"/>
      <c r="FZ8" s="2"/>
      <c r="GA8" s="2"/>
      <c r="GB8" s="2"/>
      <c r="GC8" s="2"/>
      <c r="GD8" s="2"/>
      <c r="GE8" s="2"/>
      <c r="GF8" s="2"/>
      <c r="GG8" s="2"/>
      <c r="GH8" s="2"/>
      <c r="GI8" s="2"/>
      <c r="GJ8" s="2"/>
      <c r="GK8" s="2"/>
      <c r="GL8" s="2"/>
      <c r="GM8" s="2"/>
      <c r="GN8" s="2"/>
      <c r="GO8" s="2"/>
      <c r="GP8" s="2"/>
      <c r="GQ8" s="2"/>
      <c r="GR8" s="2"/>
      <c r="GS8" s="2"/>
      <c r="GT8" s="2"/>
      <c r="GU8" s="2"/>
      <c r="GV8" s="2"/>
      <c r="GW8" s="2"/>
      <c r="GX8" s="2"/>
      <c r="GY8" s="2"/>
      <c r="GZ8" s="2"/>
      <c r="HA8" s="2"/>
      <c r="HB8" s="2"/>
      <c r="HC8" s="2"/>
      <c r="HD8" s="2"/>
      <c r="HE8" s="2"/>
      <c r="HF8" s="2"/>
      <c r="HG8" s="2"/>
      <c r="HH8" s="2"/>
      <c r="HI8" s="2"/>
      <c r="HJ8" s="2"/>
      <c r="HK8" s="2"/>
      <c r="HL8" s="2"/>
      <c r="HM8" s="2"/>
      <c r="HN8" s="2"/>
      <c r="HO8" s="2"/>
      <c r="HP8" s="2"/>
      <c r="HQ8" s="2"/>
      <c r="HR8" s="2"/>
      <c r="HS8" s="2"/>
      <c r="HT8" s="2"/>
      <c r="HU8" s="2"/>
      <c r="HV8" s="2"/>
      <c r="HW8" s="2"/>
      <c r="HX8" s="2"/>
      <c r="HY8" s="2"/>
      <c r="HZ8" s="2"/>
      <c r="IA8" s="2"/>
      <c r="IB8" s="2"/>
      <c r="IC8" s="2"/>
      <c r="ID8" s="2"/>
      <c r="IE8" s="2"/>
      <c r="IF8" s="2"/>
      <c r="IG8" s="2"/>
      <c r="IH8" s="2"/>
      <c r="II8" s="2"/>
      <c r="IJ8" s="2"/>
      <c r="IK8" s="2"/>
      <c r="IL8" s="2"/>
      <c r="IM8" s="2"/>
      <c r="IN8" s="2"/>
      <c r="IO8" s="2"/>
      <c r="IP8" s="2"/>
      <c r="IQ8" s="2"/>
      <c r="IR8" s="2"/>
      <c r="IS8" s="2"/>
      <c r="IT8" s="2"/>
      <c r="IU8" s="2"/>
      <c r="IV8" s="2"/>
    </row>
    <row r="9" spans="1:256" ht="11.85" customHeight="1">
      <c r="A9" s="24" t="s">
        <v>3</v>
      </c>
      <c r="B9" s="25"/>
      <c r="C9" s="26">
        <v>18</v>
      </c>
      <c r="D9" s="26">
        <v>19</v>
      </c>
      <c r="E9" s="273">
        <f t="shared" ref="E9:E20" si="2">IF(C9=D9,"-",IF((C9=0),"##",IF(ABS((D9/C9-1)*100)&gt;=500,"##",(D9/C9-1)*100)))</f>
        <v>5.555555555555558</v>
      </c>
      <c r="F9" s="26">
        <v>11</v>
      </c>
      <c r="G9" s="27">
        <v>19</v>
      </c>
      <c r="H9" s="273">
        <f t="shared" si="0"/>
        <v>72.727272727272734</v>
      </c>
      <c r="I9" s="26">
        <f t="shared" ref="I9:I20" si="3">C9+F9</f>
        <v>29</v>
      </c>
      <c r="J9" s="28">
        <f t="shared" ref="J9:J20" si="4">D9+G9</f>
        <v>38</v>
      </c>
      <c r="K9" s="281">
        <f t="shared" si="1"/>
        <v>31.034482758620683</v>
      </c>
      <c r="L9" s="8"/>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c r="CS9" s="2"/>
      <c r="CT9" s="2"/>
      <c r="CU9" s="2"/>
      <c r="CV9" s="2"/>
      <c r="CW9" s="2"/>
      <c r="CX9" s="2"/>
      <c r="CY9" s="2"/>
      <c r="CZ9" s="2"/>
      <c r="DA9" s="2"/>
      <c r="DB9" s="2"/>
      <c r="DC9" s="2"/>
      <c r="DD9" s="2"/>
      <c r="DE9" s="2"/>
      <c r="DF9" s="2"/>
      <c r="DG9" s="2"/>
      <c r="DH9" s="2"/>
      <c r="DI9" s="2"/>
      <c r="DJ9" s="2"/>
      <c r="DK9" s="2"/>
      <c r="DL9" s="2"/>
      <c r="DM9" s="2"/>
      <c r="DN9" s="2"/>
      <c r="DO9" s="2"/>
      <c r="DP9" s="2"/>
      <c r="DQ9" s="2"/>
      <c r="DR9" s="2"/>
      <c r="DS9" s="2"/>
      <c r="DT9" s="2"/>
      <c r="DU9" s="2"/>
      <c r="DV9" s="2"/>
      <c r="DW9" s="2"/>
      <c r="DX9" s="2"/>
      <c r="DY9" s="2"/>
      <c r="DZ9" s="2"/>
      <c r="EA9" s="2"/>
      <c r="EB9" s="2"/>
      <c r="EC9" s="2"/>
      <c r="ED9" s="2"/>
      <c r="EE9" s="2"/>
      <c r="EF9" s="2"/>
      <c r="EG9" s="2"/>
      <c r="EH9" s="2"/>
      <c r="EI9" s="2"/>
      <c r="EJ9" s="2"/>
      <c r="EK9" s="2"/>
      <c r="EL9" s="2"/>
      <c r="EM9" s="2"/>
      <c r="EN9" s="2"/>
      <c r="EO9" s="2"/>
      <c r="EP9" s="2"/>
      <c r="EQ9" s="2"/>
      <c r="ER9" s="2"/>
      <c r="ES9" s="2"/>
      <c r="ET9" s="2"/>
      <c r="EU9" s="2"/>
      <c r="EV9" s="2"/>
      <c r="EW9" s="2"/>
      <c r="EX9" s="2"/>
      <c r="EY9" s="2"/>
      <c r="EZ9" s="2"/>
      <c r="FA9" s="2"/>
      <c r="FB9" s="2"/>
      <c r="FC9" s="2"/>
      <c r="FD9" s="2"/>
      <c r="FE9" s="2"/>
      <c r="FF9" s="2"/>
      <c r="FG9" s="2"/>
      <c r="FH9" s="2"/>
      <c r="FI9" s="2"/>
      <c r="FJ9" s="2"/>
      <c r="FK9" s="2"/>
      <c r="FL9" s="2"/>
      <c r="FM9" s="2"/>
      <c r="FN9" s="2"/>
      <c r="FO9" s="2"/>
      <c r="FP9" s="2"/>
      <c r="FQ9" s="2"/>
      <c r="FR9" s="2"/>
      <c r="FS9" s="2"/>
      <c r="FT9" s="2"/>
      <c r="FU9" s="2"/>
      <c r="FV9" s="2"/>
      <c r="FW9" s="2"/>
      <c r="FX9" s="2"/>
      <c r="FY9" s="2"/>
      <c r="FZ9" s="2"/>
      <c r="GA9" s="2"/>
      <c r="GB9" s="2"/>
      <c r="GC9" s="2"/>
      <c r="GD9" s="2"/>
      <c r="GE9" s="2"/>
      <c r="GF9" s="2"/>
      <c r="GG9" s="2"/>
      <c r="GH9" s="2"/>
      <c r="GI9" s="2"/>
      <c r="GJ9" s="2"/>
      <c r="GK9" s="2"/>
      <c r="GL9" s="2"/>
      <c r="GM9" s="2"/>
      <c r="GN9" s="2"/>
      <c r="GO9" s="2"/>
      <c r="GP9" s="2"/>
      <c r="GQ9" s="2"/>
      <c r="GR9" s="2"/>
      <c r="GS9" s="2"/>
      <c r="GT9" s="2"/>
      <c r="GU9" s="2"/>
      <c r="GV9" s="2"/>
      <c r="GW9" s="2"/>
      <c r="GX9" s="2"/>
      <c r="GY9" s="2"/>
      <c r="GZ9" s="2"/>
      <c r="HA9" s="2"/>
      <c r="HB9" s="2"/>
      <c r="HC9" s="2"/>
      <c r="HD9" s="2"/>
      <c r="HE9" s="2"/>
      <c r="HF9" s="2"/>
      <c r="HG9" s="2"/>
      <c r="HH9" s="2"/>
      <c r="HI9" s="2"/>
      <c r="HJ9" s="2"/>
      <c r="HK9" s="2"/>
      <c r="HL9" s="2"/>
      <c r="HM9" s="2"/>
      <c r="HN9" s="2"/>
      <c r="HO9" s="2"/>
      <c r="HP9" s="2"/>
      <c r="HQ9" s="2"/>
      <c r="HR9" s="2"/>
      <c r="HS9" s="2"/>
      <c r="HT9" s="2"/>
      <c r="HU9" s="2"/>
      <c r="HV9" s="2"/>
      <c r="HW9" s="2"/>
      <c r="HX9" s="2"/>
      <c r="HY9" s="2"/>
      <c r="HZ9" s="2"/>
      <c r="IA9" s="2"/>
      <c r="IB9" s="2"/>
      <c r="IC9" s="2"/>
      <c r="ID9" s="2"/>
      <c r="IE9" s="2"/>
      <c r="IF9" s="2"/>
      <c r="IG9" s="2"/>
      <c r="IH9" s="2"/>
      <c r="II9" s="2"/>
      <c r="IJ9" s="2"/>
      <c r="IK9" s="2"/>
      <c r="IL9" s="2"/>
      <c r="IM9" s="2"/>
      <c r="IN9" s="2"/>
      <c r="IO9" s="2"/>
      <c r="IP9" s="2"/>
      <c r="IQ9" s="2"/>
      <c r="IR9" s="2"/>
      <c r="IS9" s="2"/>
      <c r="IT9" s="2"/>
      <c r="IU9" s="2"/>
      <c r="IV9" s="2"/>
    </row>
    <row r="10" spans="1:256" ht="11.85" customHeight="1">
      <c r="A10" s="24" t="s">
        <v>4</v>
      </c>
      <c r="B10" s="25"/>
      <c r="C10" s="26">
        <v>143</v>
      </c>
      <c r="D10" s="26">
        <v>149</v>
      </c>
      <c r="E10" s="273">
        <f t="shared" si="2"/>
        <v>4.195804195804187</v>
      </c>
      <c r="F10" s="26">
        <v>353</v>
      </c>
      <c r="G10" s="27">
        <v>607</v>
      </c>
      <c r="H10" s="273">
        <f t="shared" si="0"/>
        <v>71.95467422096317</v>
      </c>
      <c r="I10" s="26">
        <f t="shared" si="3"/>
        <v>496</v>
      </c>
      <c r="J10" s="28">
        <f t="shared" si="4"/>
        <v>756</v>
      </c>
      <c r="K10" s="281">
        <f t="shared" si="1"/>
        <v>52.419354838709673</v>
      </c>
      <c r="L10" s="8"/>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c r="CJ10" s="2"/>
      <c r="CK10" s="2"/>
      <c r="CL10" s="2"/>
      <c r="CM10" s="2"/>
      <c r="CN10" s="2"/>
      <c r="CO10" s="2"/>
      <c r="CP10" s="2"/>
      <c r="CQ10" s="2"/>
      <c r="CR10" s="2"/>
      <c r="CS10" s="2"/>
      <c r="CT10" s="2"/>
      <c r="CU10" s="2"/>
      <c r="CV10" s="2"/>
      <c r="CW10" s="2"/>
      <c r="CX10" s="2"/>
      <c r="CY10" s="2"/>
      <c r="CZ10" s="2"/>
      <c r="DA10" s="2"/>
      <c r="DB10" s="2"/>
      <c r="DC10" s="2"/>
      <c r="DD10" s="2"/>
      <c r="DE10" s="2"/>
      <c r="DF10" s="2"/>
      <c r="DG10" s="2"/>
      <c r="DH10" s="2"/>
      <c r="DI10" s="2"/>
      <c r="DJ10" s="2"/>
      <c r="DK10" s="2"/>
      <c r="DL10" s="2"/>
      <c r="DM10" s="2"/>
      <c r="DN10" s="2"/>
      <c r="DO10" s="2"/>
      <c r="DP10" s="2"/>
      <c r="DQ10" s="2"/>
      <c r="DR10" s="2"/>
      <c r="DS10" s="2"/>
      <c r="DT10" s="2"/>
      <c r="DU10" s="2"/>
      <c r="DV10" s="2"/>
      <c r="DW10" s="2"/>
      <c r="DX10" s="2"/>
      <c r="DY10" s="2"/>
      <c r="DZ10" s="2"/>
      <c r="EA10" s="2"/>
      <c r="EB10" s="2"/>
      <c r="EC10" s="2"/>
      <c r="ED10" s="2"/>
      <c r="EE10" s="2"/>
      <c r="EF10" s="2"/>
      <c r="EG10" s="2"/>
      <c r="EH10" s="2"/>
      <c r="EI10" s="2"/>
      <c r="EJ10" s="2"/>
      <c r="EK10" s="2"/>
      <c r="EL10" s="2"/>
      <c r="EM10" s="2"/>
      <c r="EN10" s="2"/>
      <c r="EO10" s="2"/>
      <c r="EP10" s="2"/>
      <c r="EQ10" s="2"/>
      <c r="ER10" s="2"/>
      <c r="ES10" s="2"/>
      <c r="ET10" s="2"/>
      <c r="EU10" s="2"/>
      <c r="EV10" s="2"/>
      <c r="EW10" s="2"/>
      <c r="EX10" s="2"/>
      <c r="EY10" s="2"/>
      <c r="EZ10" s="2"/>
      <c r="FA10" s="2"/>
      <c r="FB10" s="2"/>
      <c r="FC10" s="2"/>
      <c r="FD10" s="2"/>
      <c r="FE10" s="2"/>
      <c r="FF10" s="2"/>
      <c r="FG10" s="2"/>
      <c r="FH10" s="2"/>
      <c r="FI10" s="2"/>
      <c r="FJ10" s="2"/>
      <c r="FK10" s="2"/>
      <c r="FL10" s="2"/>
      <c r="FM10" s="2"/>
      <c r="FN10" s="2"/>
      <c r="FO10" s="2"/>
      <c r="FP10" s="2"/>
      <c r="FQ10" s="2"/>
      <c r="FR10" s="2"/>
      <c r="FS10" s="2"/>
      <c r="FT10" s="2"/>
      <c r="FU10" s="2"/>
      <c r="FV10" s="2"/>
      <c r="FW10" s="2"/>
      <c r="FX10" s="2"/>
      <c r="FY10" s="2"/>
      <c r="FZ10" s="2"/>
      <c r="GA10" s="2"/>
      <c r="GB10" s="2"/>
      <c r="GC10" s="2"/>
      <c r="GD10" s="2"/>
      <c r="GE10" s="2"/>
      <c r="GF10" s="2"/>
      <c r="GG10" s="2"/>
      <c r="GH10" s="2"/>
      <c r="GI10" s="2"/>
      <c r="GJ10" s="2"/>
      <c r="GK10" s="2"/>
      <c r="GL10" s="2"/>
      <c r="GM10" s="2"/>
      <c r="GN10" s="2"/>
      <c r="GO10" s="2"/>
      <c r="GP10" s="2"/>
      <c r="GQ10" s="2"/>
      <c r="GR10" s="2"/>
      <c r="GS10" s="2"/>
      <c r="GT10" s="2"/>
      <c r="GU10" s="2"/>
      <c r="GV10" s="2"/>
      <c r="GW10" s="2"/>
      <c r="GX10" s="2"/>
      <c r="GY10" s="2"/>
      <c r="GZ10" s="2"/>
      <c r="HA10" s="2"/>
      <c r="HB10" s="2"/>
      <c r="HC10" s="2"/>
      <c r="HD10" s="2"/>
      <c r="HE10" s="2"/>
      <c r="HF10" s="2"/>
      <c r="HG10" s="2"/>
      <c r="HH10" s="2"/>
      <c r="HI10" s="2"/>
      <c r="HJ10" s="2"/>
      <c r="HK10" s="2"/>
      <c r="HL10" s="2"/>
      <c r="HM10" s="2"/>
      <c r="HN10" s="2"/>
      <c r="HO10" s="2"/>
      <c r="HP10" s="2"/>
      <c r="HQ10" s="2"/>
      <c r="HR10" s="2"/>
      <c r="HS10" s="2"/>
      <c r="HT10" s="2"/>
      <c r="HU10" s="2"/>
      <c r="HV10" s="2"/>
      <c r="HW10" s="2"/>
      <c r="HX10" s="2"/>
      <c r="HY10" s="2"/>
      <c r="HZ10" s="2"/>
      <c r="IA10" s="2"/>
      <c r="IB10" s="2"/>
      <c r="IC10" s="2"/>
      <c r="ID10" s="2"/>
      <c r="IE10" s="2"/>
      <c r="IF10" s="2"/>
      <c r="IG10" s="2"/>
      <c r="IH10" s="2"/>
      <c r="II10" s="2"/>
      <c r="IJ10" s="2"/>
      <c r="IK10" s="2"/>
      <c r="IL10" s="2"/>
      <c r="IM10" s="2"/>
      <c r="IN10" s="2"/>
      <c r="IO10" s="2"/>
      <c r="IP10" s="2"/>
      <c r="IQ10" s="2"/>
      <c r="IR10" s="2"/>
      <c r="IS10" s="2"/>
      <c r="IT10" s="2"/>
      <c r="IU10" s="2"/>
      <c r="IV10" s="2"/>
    </row>
    <row r="11" spans="1:256" ht="11.85" customHeight="1">
      <c r="A11" s="24" t="s">
        <v>5</v>
      </c>
      <c r="B11" s="25"/>
      <c r="C11" s="26">
        <v>77</v>
      </c>
      <c r="D11" s="26">
        <v>79</v>
      </c>
      <c r="E11" s="273">
        <f t="shared" si="2"/>
        <v>2.5974025974025983</v>
      </c>
      <c r="F11" s="26">
        <v>434</v>
      </c>
      <c r="G11" s="27">
        <v>266</v>
      </c>
      <c r="H11" s="273">
        <f t="shared" si="0"/>
        <v>-38.70967741935484</v>
      </c>
      <c r="I11" s="26">
        <f t="shared" si="3"/>
        <v>511</v>
      </c>
      <c r="J11" s="28">
        <f t="shared" si="4"/>
        <v>345</v>
      </c>
      <c r="K11" s="281">
        <f t="shared" si="1"/>
        <v>-32.485322896281801</v>
      </c>
      <c r="L11" s="8"/>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c r="CK11" s="2"/>
      <c r="CL11" s="2"/>
      <c r="CM11" s="2"/>
      <c r="CN11" s="2"/>
      <c r="CO11" s="2"/>
      <c r="CP11" s="2"/>
      <c r="CQ11" s="2"/>
      <c r="CR11" s="2"/>
      <c r="CS11" s="2"/>
      <c r="CT11" s="2"/>
      <c r="CU11" s="2"/>
      <c r="CV11" s="2"/>
      <c r="CW11" s="2"/>
      <c r="CX11" s="2"/>
      <c r="CY11" s="2"/>
      <c r="CZ11" s="2"/>
      <c r="DA11" s="2"/>
      <c r="DB11" s="2"/>
      <c r="DC11" s="2"/>
      <c r="DD11" s="2"/>
      <c r="DE11" s="2"/>
      <c r="DF11" s="2"/>
      <c r="DG11" s="2"/>
      <c r="DH11" s="2"/>
      <c r="DI11" s="2"/>
      <c r="DJ11" s="2"/>
      <c r="DK11" s="2"/>
      <c r="DL11" s="2"/>
      <c r="DM11" s="2"/>
      <c r="DN11" s="2"/>
      <c r="DO11" s="2"/>
      <c r="DP11" s="2"/>
      <c r="DQ11" s="2"/>
      <c r="DR11" s="2"/>
      <c r="DS11" s="2"/>
      <c r="DT11" s="2"/>
      <c r="DU11" s="2"/>
      <c r="DV11" s="2"/>
      <c r="DW11" s="2"/>
      <c r="DX11" s="2"/>
      <c r="DY11" s="2"/>
      <c r="DZ11" s="2"/>
      <c r="EA11" s="2"/>
      <c r="EB11" s="2"/>
      <c r="EC11" s="2"/>
      <c r="ED11" s="2"/>
      <c r="EE11" s="2"/>
      <c r="EF11" s="2"/>
      <c r="EG11" s="2"/>
      <c r="EH11" s="2"/>
      <c r="EI11" s="2"/>
      <c r="EJ11" s="2"/>
      <c r="EK11" s="2"/>
      <c r="EL11" s="2"/>
      <c r="EM11" s="2"/>
      <c r="EN11" s="2"/>
      <c r="EO11" s="2"/>
      <c r="EP11" s="2"/>
      <c r="EQ11" s="2"/>
      <c r="ER11" s="2"/>
      <c r="ES11" s="2"/>
      <c r="ET11" s="2"/>
      <c r="EU11" s="2"/>
      <c r="EV11" s="2"/>
      <c r="EW11" s="2"/>
      <c r="EX11" s="2"/>
      <c r="EY11" s="2"/>
      <c r="EZ11" s="2"/>
      <c r="FA11" s="2"/>
      <c r="FB11" s="2"/>
      <c r="FC11" s="2"/>
      <c r="FD11" s="2"/>
      <c r="FE11" s="2"/>
      <c r="FF11" s="2"/>
      <c r="FG11" s="2"/>
      <c r="FH11" s="2"/>
      <c r="FI11" s="2"/>
      <c r="FJ11" s="2"/>
      <c r="FK11" s="2"/>
      <c r="FL11" s="2"/>
      <c r="FM11" s="2"/>
      <c r="FN11" s="2"/>
      <c r="FO11" s="2"/>
      <c r="FP11" s="2"/>
      <c r="FQ11" s="2"/>
      <c r="FR11" s="2"/>
      <c r="FS11" s="2"/>
      <c r="FT11" s="2"/>
      <c r="FU11" s="2"/>
      <c r="FV11" s="2"/>
      <c r="FW11" s="2"/>
      <c r="FX11" s="2"/>
      <c r="FY11" s="2"/>
      <c r="FZ11" s="2"/>
      <c r="GA11" s="2"/>
      <c r="GB11" s="2"/>
      <c r="GC11" s="2"/>
      <c r="GD11" s="2"/>
      <c r="GE11" s="2"/>
      <c r="GF11" s="2"/>
      <c r="GG11" s="2"/>
      <c r="GH11" s="2"/>
      <c r="GI11" s="2"/>
      <c r="GJ11" s="2"/>
      <c r="GK11" s="2"/>
      <c r="GL11" s="2"/>
      <c r="GM11" s="2"/>
      <c r="GN11" s="2"/>
      <c r="GO11" s="2"/>
      <c r="GP11" s="2"/>
      <c r="GQ11" s="2"/>
      <c r="GR11" s="2"/>
      <c r="GS11" s="2"/>
      <c r="GT11" s="2"/>
      <c r="GU11" s="2"/>
      <c r="GV11" s="2"/>
      <c r="GW11" s="2"/>
      <c r="GX11" s="2"/>
      <c r="GY11" s="2"/>
      <c r="GZ11" s="2"/>
      <c r="HA11" s="2"/>
      <c r="HB11" s="2"/>
      <c r="HC11" s="2"/>
      <c r="HD11" s="2"/>
      <c r="HE11" s="2"/>
      <c r="HF11" s="2"/>
      <c r="HG11" s="2"/>
      <c r="HH11" s="2"/>
      <c r="HI11" s="2"/>
      <c r="HJ11" s="2"/>
      <c r="HK11" s="2"/>
      <c r="HL11" s="2"/>
      <c r="HM11" s="2"/>
      <c r="HN11" s="2"/>
      <c r="HO11" s="2"/>
      <c r="HP11" s="2"/>
      <c r="HQ11" s="2"/>
      <c r="HR11" s="2"/>
      <c r="HS11" s="2"/>
      <c r="HT11" s="2"/>
      <c r="HU11" s="2"/>
      <c r="HV11" s="2"/>
      <c r="HW11" s="2"/>
      <c r="HX11" s="2"/>
      <c r="HY11" s="2"/>
      <c r="HZ11" s="2"/>
      <c r="IA11" s="2"/>
      <c r="IB11" s="2"/>
      <c r="IC11" s="2"/>
      <c r="ID11" s="2"/>
      <c r="IE11" s="2"/>
      <c r="IF11" s="2"/>
      <c r="IG11" s="2"/>
      <c r="IH11" s="2"/>
      <c r="II11" s="2"/>
      <c r="IJ11" s="2"/>
      <c r="IK11" s="2"/>
      <c r="IL11" s="2"/>
      <c r="IM11" s="2"/>
      <c r="IN11" s="2"/>
      <c r="IO11" s="2"/>
      <c r="IP11" s="2"/>
      <c r="IQ11" s="2"/>
      <c r="IR11" s="2"/>
      <c r="IS11" s="2"/>
      <c r="IT11" s="2"/>
      <c r="IU11" s="2"/>
      <c r="IV11" s="2"/>
    </row>
    <row r="12" spans="1:256" ht="11.85" customHeight="1">
      <c r="A12" s="24" t="s">
        <v>6</v>
      </c>
      <c r="B12" s="25"/>
      <c r="C12" s="26">
        <f>SUM(C8:C11)</f>
        <v>291</v>
      </c>
      <c r="D12" s="26">
        <f>SUM(D8:D11)</f>
        <v>303</v>
      </c>
      <c r="E12" s="273">
        <f t="shared" si="2"/>
        <v>4.1237113402061931</v>
      </c>
      <c r="F12" s="26">
        <f>SUM(F8:F11)</f>
        <v>805</v>
      </c>
      <c r="G12" s="27">
        <f>SUM(G8:G11)</f>
        <v>916</v>
      </c>
      <c r="H12" s="273">
        <f t="shared" si="0"/>
        <v>13.788819875776404</v>
      </c>
      <c r="I12" s="26">
        <f t="shared" si="3"/>
        <v>1096</v>
      </c>
      <c r="J12" s="28">
        <f t="shared" si="4"/>
        <v>1219</v>
      </c>
      <c r="K12" s="281">
        <f t="shared" si="1"/>
        <v>11.222627737226286</v>
      </c>
      <c r="L12" s="8"/>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CL12" s="2"/>
      <c r="CM12" s="2"/>
      <c r="CN12" s="2"/>
      <c r="CO12" s="2"/>
      <c r="CP12" s="2"/>
      <c r="CQ12" s="2"/>
      <c r="CR12" s="2"/>
      <c r="CS12" s="2"/>
      <c r="CT12" s="2"/>
      <c r="CU12" s="2"/>
      <c r="CV12" s="2"/>
      <c r="CW12" s="2"/>
      <c r="CX12" s="2"/>
      <c r="CY12" s="2"/>
      <c r="CZ12" s="2"/>
      <c r="DA12" s="2"/>
      <c r="DB12" s="2"/>
      <c r="DC12" s="2"/>
      <c r="DD12" s="2"/>
      <c r="DE12" s="2"/>
      <c r="DF12" s="2"/>
      <c r="DG12" s="2"/>
      <c r="DH12" s="2"/>
      <c r="DI12" s="2"/>
      <c r="DJ12" s="2"/>
      <c r="DK12" s="2"/>
      <c r="DL12" s="2"/>
      <c r="DM12" s="2"/>
      <c r="DN12" s="2"/>
      <c r="DO12" s="2"/>
      <c r="DP12" s="2"/>
      <c r="DQ12" s="2"/>
      <c r="DR12" s="2"/>
      <c r="DS12" s="2"/>
      <c r="DT12" s="2"/>
      <c r="DU12" s="2"/>
      <c r="DV12" s="2"/>
      <c r="DW12" s="2"/>
      <c r="DX12" s="2"/>
      <c r="DY12" s="2"/>
      <c r="DZ12" s="2"/>
      <c r="EA12" s="2"/>
      <c r="EB12" s="2"/>
      <c r="EC12" s="2"/>
      <c r="ED12" s="2"/>
      <c r="EE12" s="2"/>
      <c r="EF12" s="2"/>
      <c r="EG12" s="2"/>
      <c r="EH12" s="2"/>
      <c r="EI12" s="2"/>
      <c r="EJ12" s="2"/>
      <c r="EK12" s="2"/>
      <c r="EL12" s="2"/>
      <c r="EM12" s="2"/>
      <c r="EN12" s="2"/>
      <c r="EO12" s="2"/>
      <c r="EP12" s="2"/>
      <c r="EQ12" s="2"/>
      <c r="ER12" s="2"/>
      <c r="ES12" s="2"/>
      <c r="ET12" s="2"/>
      <c r="EU12" s="2"/>
      <c r="EV12" s="2"/>
      <c r="EW12" s="2"/>
      <c r="EX12" s="2"/>
      <c r="EY12" s="2"/>
      <c r="EZ12" s="2"/>
      <c r="FA12" s="2"/>
      <c r="FB12" s="2"/>
      <c r="FC12" s="2"/>
      <c r="FD12" s="2"/>
      <c r="FE12" s="2"/>
      <c r="FF12" s="2"/>
      <c r="FG12" s="2"/>
      <c r="FH12" s="2"/>
      <c r="FI12" s="2"/>
      <c r="FJ12" s="2"/>
      <c r="FK12" s="2"/>
      <c r="FL12" s="2"/>
      <c r="FM12" s="2"/>
      <c r="FN12" s="2"/>
      <c r="FO12" s="2"/>
      <c r="FP12" s="2"/>
      <c r="FQ12" s="2"/>
      <c r="FR12" s="2"/>
      <c r="FS12" s="2"/>
      <c r="FT12" s="2"/>
      <c r="FU12" s="2"/>
      <c r="FV12" s="2"/>
      <c r="FW12" s="2"/>
      <c r="FX12" s="2"/>
      <c r="FY12" s="2"/>
      <c r="FZ12" s="2"/>
      <c r="GA12" s="2"/>
      <c r="GB12" s="2"/>
      <c r="GC12" s="2"/>
      <c r="GD12" s="2"/>
      <c r="GE12" s="2"/>
      <c r="GF12" s="2"/>
      <c r="GG12" s="2"/>
      <c r="GH12" s="2"/>
      <c r="GI12" s="2"/>
      <c r="GJ12" s="2"/>
      <c r="GK12" s="2"/>
      <c r="GL12" s="2"/>
      <c r="GM12" s="2"/>
      <c r="GN12" s="2"/>
      <c r="GO12" s="2"/>
      <c r="GP12" s="2"/>
      <c r="GQ12" s="2"/>
      <c r="GR12" s="2"/>
      <c r="GS12" s="2"/>
      <c r="GT12" s="2"/>
      <c r="GU12" s="2"/>
      <c r="GV12" s="2"/>
      <c r="GW12" s="2"/>
      <c r="GX12" s="2"/>
      <c r="GY12" s="2"/>
      <c r="GZ12" s="2"/>
      <c r="HA12" s="2"/>
      <c r="HB12" s="2"/>
      <c r="HC12" s="2"/>
      <c r="HD12" s="2"/>
      <c r="HE12" s="2"/>
      <c r="HF12" s="2"/>
      <c r="HG12" s="2"/>
      <c r="HH12" s="2"/>
      <c r="HI12" s="2"/>
      <c r="HJ12" s="2"/>
      <c r="HK12" s="2"/>
      <c r="HL12" s="2"/>
      <c r="HM12" s="2"/>
      <c r="HN12" s="2"/>
      <c r="HO12" s="2"/>
      <c r="HP12" s="2"/>
      <c r="HQ12" s="2"/>
      <c r="HR12" s="2"/>
      <c r="HS12" s="2"/>
      <c r="HT12" s="2"/>
      <c r="HU12" s="2"/>
      <c r="HV12" s="2"/>
      <c r="HW12" s="2"/>
      <c r="HX12" s="2"/>
      <c r="HY12" s="2"/>
      <c r="HZ12" s="2"/>
      <c r="IA12" s="2"/>
      <c r="IB12" s="2"/>
      <c r="IC12" s="2"/>
      <c r="ID12" s="2"/>
      <c r="IE12" s="2"/>
      <c r="IF12" s="2"/>
      <c r="IG12" s="2"/>
      <c r="IH12" s="2"/>
      <c r="II12" s="2"/>
      <c r="IJ12" s="2"/>
      <c r="IK12" s="2"/>
      <c r="IL12" s="2"/>
      <c r="IM12" s="2"/>
      <c r="IN12" s="2"/>
      <c r="IO12" s="2"/>
      <c r="IP12" s="2"/>
      <c r="IQ12" s="2"/>
      <c r="IR12" s="2"/>
      <c r="IS12" s="2"/>
      <c r="IT12" s="2"/>
      <c r="IU12" s="2"/>
      <c r="IV12" s="2"/>
    </row>
    <row r="13" spans="1:256" ht="11.85" customHeight="1">
      <c r="A13" s="24" t="s">
        <v>7</v>
      </c>
      <c r="B13" s="25"/>
      <c r="C13" s="26">
        <v>583</v>
      </c>
      <c r="D13" s="26">
        <v>344</v>
      </c>
      <c r="E13" s="273">
        <f t="shared" si="2"/>
        <v>-40.994854202401378</v>
      </c>
      <c r="F13" s="26">
        <v>3952</v>
      </c>
      <c r="G13" s="27">
        <v>3274</v>
      </c>
      <c r="H13" s="273">
        <f t="shared" si="0"/>
        <v>-17.155870445344135</v>
      </c>
      <c r="I13" s="26">
        <f t="shared" si="3"/>
        <v>4535</v>
      </c>
      <c r="J13" s="28">
        <f t="shared" si="4"/>
        <v>3618</v>
      </c>
      <c r="K13" s="281">
        <f t="shared" si="1"/>
        <v>-20.220507166482914</v>
      </c>
      <c r="L13" s="8"/>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c r="CY13" s="2"/>
      <c r="CZ13" s="2"/>
      <c r="DA13" s="2"/>
      <c r="DB13" s="2"/>
      <c r="DC13" s="2"/>
      <c r="DD13" s="2"/>
      <c r="DE13" s="2"/>
      <c r="DF13" s="2"/>
      <c r="DG13" s="2"/>
      <c r="DH13" s="2"/>
      <c r="DI13" s="2"/>
      <c r="DJ13" s="2"/>
      <c r="DK13" s="2"/>
      <c r="DL13" s="2"/>
      <c r="DM13" s="2"/>
      <c r="DN13" s="2"/>
      <c r="DO13" s="2"/>
      <c r="DP13" s="2"/>
      <c r="DQ13" s="2"/>
      <c r="DR13" s="2"/>
      <c r="DS13" s="2"/>
      <c r="DT13" s="2"/>
      <c r="DU13" s="2"/>
      <c r="DV13" s="2"/>
      <c r="DW13" s="2"/>
      <c r="DX13" s="2"/>
      <c r="DY13" s="2"/>
      <c r="DZ13" s="2"/>
      <c r="EA13" s="2"/>
      <c r="EB13" s="2"/>
      <c r="EC13" s="2"/>
      <c r="ED13" s="2"/>
      <c r="EE13" s="2"/>
      <c r="EF13" s="2"/>
      <c r="EG13" s="2"/>
      <c r="EH13" s="2"/>
      <c r="EI13" s="2"/>
      <c r="EJ13" s="2"/>
      <c r="EK13" s="2"/>
      <c r="EL13" s="2"/>
      <c r="EM13" s="2"/>
      <c r="EN13" s="2"/>
      <c r="EO13" s="2"/>
      <c r="EP13" s="2"/>
      <c r="EQ13" s="2"/>
      <c r="ER13" s="2"/>
      <c r="ES13" s="2"/>
      <c r="ET13" s="2"/>
      <c r="EU13" s="2"/>
      <c r="EV13" s="2"/>
      <c r="EW13" s="2"/>
      <c r="EX13" s="2"/>
      <c r="EY13" s="2"/>
      <c r="EZ13" s="2"/>
      <c r="FA13" s="2"/>
      <c r="FB13" s="2"/>
      <c r="FC13" s="2"/>
      <c r="FD13" s="2"/>
      <c r="FE13" s="2"/>
      <c r="FF13" s="2"/>
      <c r="FG13" s="2"/>
      <c r="FH13" s="2"/>
      <c r="FI13" s="2"/>
      <c r="FJ13" s="2"/>
      <c r="FK13" s="2"/>
      <c r="FL13" s="2"/>
      <c r="FM13" s="2"/>
      <c r="FN13" s="2"/>
      <c r="FO13" s="2"/>
      <c r="FP13" s="2"/>
      <c r="FQ13" s="2"/>
      <c r="FR13" s="2"/>
      <c r="FS13" s="2"/>
      <c r="FT13" s="2"/>
      <c r="FU13" s="2"/>
      <c r="FV13" s="2"/>
      <c r="FW13" s="2"/>
      <c r="FX13" s="2"/>
      <c r="FY13" s="2"/>
      <c r="FZ13" s="2"/>
      <c r="GA13" s="2"/>
      <c r="GB13" s="2"/>
      <c r="GC13" s="2"/>
      <c r="GD13" s="2"/>
      <c r="GE13" s="2"/>
      <c r="GF13" s="2"/>
      <c r="GG13" s="2"/>
      <c r="GH13" s="2"/>
      <c r="GI13" s="2"/>
      <c r="GJ13" s="2"/>
      <c r="GK13" s="2"/>
      <c r="GL13" s="2"/>
      <c r="GM13" s="2"/>
      <c r="GN13" s="2"/>
      <c r="GO13" s="2"/>
      <c r="GP13" s="2"/>
      <c r="GQ13" s="2"/>
      <c r="GR13" s="2"/>
      <c r="GS13" s="2"/>
      <c r="GT13" s="2"/>
      <c r="GU13" s="2"/>
      <c r="GV13" s="2"/>
      <c r="GW13" s="2"/>
      <c r="GX13" s="2"/>
      <c r="GY13" s="2"/>
      <c r="GZ13" s="2"/>
      <c r="HA13" s="2"/>
      <c r="HB13" s="2"/>
      <c r="HC13" s="2"/>
      <c r="HD13" s="2"/>
      <c r="HE13" s="2"/>
      <c r="HF13" s="2"/>
      <c r="HG13" s="2"/>
      <c r="HH13" s="2"/>
      <c r="HI13" s="2"/>
      <c r="HJ13" s="2"/>
      <c r="HK13" s="2"/>
      <c r="HL13" s="2"/>
      <c r="HM13" s="2"/>
      <c r="HN13" s="2"/>
      <c r="HO13" s="2"/>
      <c r="HP13" s="2"/>
      <c r="HQ13" s="2"/>
      <c r="HR13" s="2"/>
      <c r="HS13" s="2"/>
      <c r="HT13" s="2"/>
      <c r="HU13" s="2"/>
      <c r="HV13" s="2"/>
      <c r="HW13" s="2"/>
      <c r="HX13" s="2"/>
      <c r="HY13" s="2"/>
      <c r="HZ13" s="2"/>
      <c r="IA13" s="2"/>
      <c r="IB13" s="2"/>
      <c r="IC13" s="2"/>
      <c r="ID13" s="2"/>
      <c r="IE13" s="2"/>
      <c r="IF13" s="2"/>
      <c r="IG13" s="2"/>
      <c r="IH13" s="2"/>
      <c r="II13" s="2"/>
      <c r="IJ13" s="2"/>
      <c r="IK13" s="2"/>
      <c r="IL13" s="2"/>
      <c r="IM13" s="2"/>
      <c r="IN13" s="2"/>
      <c r="IO13" s="2"/>
      <c r="IP13" s="2"/>
      <c r="IQ13" s="2"/>
      <c r="IR13" s="2"/>
      <c r="IS13" s="2"/>
      <c r="IT13" s="2"/>
      <c r="IU13" s="2"/>
      <c r="IV13" s="2"/>
    </row>
    <row r="14" spans="1:256" ht="11.85" customHeight="1">
      <c r="A14" s="24" t="s">
        <v>8</v>
      </c>
      <c r="B14" s="25"/>
      <c r="C14" s="26">
        <v>1700</v>
      </c>
      <c r="D14" s="26">
        <v>1870</v>
      </c>
      <c r="E14" s="273">
        <f t="shared" si="2"/>
        <v>10.000000000000009</v>
      </c>
      <c r="F14" s="26">
        <v>3989</v>
      </c>
      <c r="G14" s="27">
        <v>3576</v>
      </c>
      <c r="H14" s="273">
        <f t="shared" si="0"/>
        <v>-10.353472048132362</v>
      </c>
      <c r="I14" s="26">
        <f t="shared" si="3"/>
        <v>5689</v>
      </c>
      <c r="J14" s="28">
        <f t="shared" si="4"/>
        <v>5446</v>
      </c>
      <c r="K14" s="281">
        <f t="shared" si="1"/>
        <v>-4.2714009492002099</v>
      </c>
      <c r="L14" s="8"/>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c r="CZ14" s="2"/>
      <c r="DA14" s="2"/>
      <c r="DB14" s="2"/>
      <c r="DC14" s="2"/>
      <c r="DD14" s="2"/>
      <c r="DE14" s="2"/>
      <c r="DF14" s="2"/>
      <c r="DG14" s="2"/>
      <c r="DH14" s="2"/>
      <c r="DI14" s="2"/>
      <c r="DJ14" s="2"/>
      <c r="DK14" s="2"/>
      <c r="DL14" s="2"/>
      <c r="DM14" s="2"/>
      <c r="DN14" s="2"/>
      <c r="DO14" s="2"/>
      <c r="DP14" s="2"/>
      <c r="DQ14" s="2"/>
      <c r="DR14" s="2"/>
      <c r="DS14" s="2"/>
      <c r="DT14" s="2"/>
      <c r="DU14" s="2"/>
      <c r="DV14" s="2"/>
      <c r="DW14" s="2"/>
      <c r="DX14" s="2"/>
      <c r="DY14" s="2"/>
      <c r="DZ14" s="2"/>
      <c r="EA14" s="2"/>
      <c r="EB14" s="2"/>
      <c r="EC14" s="2"/>
      <c r="ED14" s="2"/>
      <c r="EE14" s="2"/>
      <c r="EF14" s="2"/>
      <c r="EG14" s="2"/>
      <c r="EH14" s="2"/>
      <c r="EI14" s="2"/>
      <c r="EJ14" s="2"/>
      <c r="EK14" s="2"/>
      <c r="EL14" s="2"/>
      <c r="EM14" s="2"/>
      <c r="EN14" s="2"/>
      <c r="EO14" s="2"/>
      <c r="EP14" s="2"/>
      <c r="EQ14" s="2"/>
      <c r="ER14" s="2"/>
      <c r="ES14" s="2"/>
      <c r="ET14" s="2"/>
      <c r="EU14" s="2"/>
      <c r="EV14" s="2"/>
      <c r="EW14" s="2"/>
      <c r="EX14" s="2"/>
      <c r="EY14" s="2"/>
      <c r="EZ14" s="2"/>
      <c r="FA14" s="2"/>
      <c r="FB14" s="2"/>
      <c r="FC14" s="2"/>
      <c r="FD14" s="2"/>
      <c r="FE14" s="2"/>
      <c r="FF14" s="2"/>
      <c r="FG14" s="2"/>
      <c r="FH14" s="2"/>
      <c r="FI14" s="2"/>
      <c r="FJ14" s="2"/>
      <c r="FK14" s="2"/>
      <c r="FL14" s="2"/>
      <c r="FM14" s="2"/>
      <c r="FN14" s="2"/>
      <c r="FO14" s="2"/>
      <c r="FP14" s="2"/>
      <c r="FQ14" s="2"/>
      <c r="FR14" s="2"/>
      <c r="FS14" s="2"/>
      <c r="FT14" s="2"/>
      <c r="FU14" s="2"/>
      <c r="FV14" s="2"/>
      <c r="FW14" s="2"/>
      <c r="FX14" s="2"/>
      <c r="FY14" s="2"/>
      <c r="FZ14" s="2"/>
      <c r="GA14" s="2"/>
      <c r="GB14" s="2"/>
      <c r="GC14" s="2"/>
      <c r="GD14" s="2"/>
      <c r="GE14" s="2"/>
      <c r="GF14" s="2"/>
      <c r="GG14" s="2"/>
      <c r="GH14" s="2"/>
      <c r="GI14" s="2"/>
      <c r="GJ14" s="2"/>
      <c r="GK14" s="2"/>
      <c r="GL14" s="2"/>
      <c r="GM14" s="2"/>
      <c r="GN14" s="2"/>
      <c r="GO14" s="2"/>
      <c r="GP14" s="2"/>
      <c r="GQ14" s="2"/>
      <c r="GR14" s="2"/>
      <c r="GS14" s="2"/>
      <c r="GT14" s="2"/>
      <c r="GU14" s="2"/>
      <c r="GV14" s="2"/>
      <c r="GW14" s="2"/>
      <c r="GX14" s="2"/>
      <c r="GY14" s="2"/>
      <c r="GZ14" s="2"/>
      <c r="HA14" s="2"/>
      <c r="HB14" s="2"/>
      <c r="HC14" s="2"/>
      <c r="HD14" s="2"/>
      <c r="HE14" s="2"/>
      <c r="HF14" s="2"/>
      <c r="HG14" s="2"/>
      <c r="HH14" s="2"/>
      <c r="HI14" s="2"/>
      <c r="HJ14" s="2"/>
      <c r="HK14" s="2"/>
      <c r="HL14" s="2"/>
      <c r="HM14" s="2"/>
      <c r="HN14" s="2"/>
      <c r="HO14" s="2"/>
      <c r="HP14" s="2"/>
      <c r="HQ14" s="2"/>
      <c r="HR14" s="2"/>
      <c r="HS14" s="2"/>
      <c r="HT14" s="2"/>
      <c r="HU14" s="2"/>
      <c r="HV14" s="2"/>
      <c r="HW14" s="2"/>
      <c r="HX14" s="2"/>
      <c r="HY14" s="2"/>
      <c r="HZ14" s="2"/>
      <c r="IA14" s="2"/>
      <c r="IB14" s="2"/>
      <c r="IC14" s="2"/>
      <c r="ID14" s="2"/>
      <c r="IE14" s="2"/>
      <c r="IF14" s="2"/>
      <c r="IG14" s="2"/>
      <c r="IH14" s="2"/>
      <c r="II14" s="2"/>
      <c r="IJ14" s="2"/>
      <c r="IK14" s="2"/>
      <c r="IL14" s="2"/>
      <c r="IM14" s="2"/>
      <c r="IN14" s="2"/>
      <c r="IO14" s="2"/>
      <c r="IP14" s="2"/>
      <c r="IQ14" s="2"/>
      <c r="IR14" s="2"/>
      <c r="IS14" s="2"/>
      <c r="IT14" s="2"/>
      <c r="IU14" s="2"/>
      <c r="IV14" s="2"/>
    </row>
    <row r="15" spans="1:256" ht="11.85" customHeight="1">
      <c r="A15" s="24" t="s">
        <v>9</v>
      </c>
      <c r="B15" s="25"/>
      <c r="C15" s="26">
        <v>174</v>
      </c>
      <c r="D15" s="26">
        <v>187</v>
      </c>
      <c r="E15" s="273">
        <f t="shared" si="2"/>
        <v>7.4712643678160884</v>
      </c>
      <c r="F15" s="26">
        <v>336</v>
      </c>
      <c r="G15" s="27">
        <v>374</v>
      </c>
      <c r="H15" s="273">
        <f t="shared" si="0"/>
        <v>11.309523809523814</v>
      </c>
      <c r="I15" s="26">
        <f t="shared" si="3"/>
        <v>510</v>
      </c>
      <c r="J15" s="28">
        <f t="shared" si="4"/>
        <v>561</v>
      </c>
      <c r="K15" s="281">
        <f t="shared" si="1"/>
        <v>10.000000000000009</v>
      </c>
      <c r="L15" s="8"/>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c r="CY15" s="2"/>
      <c r="CZ15" s="2"/>
      <c r="DA15" s="2"/>
      <c r="DB15" s="2"/>
      <c r="DC15" s="2"/>
      <c r="DD15" s="2"/>
      <c r="DE15" s="2"/>
      <c r="DF15" s="2"/>
      <c r="DG15" s="2"/>
      <c r="DH15" s="2"/>
      <c r="DI15" s="2"/>
      <c r="DJ15" s="2"/>
      <c r="DK15" s="2"/>
      <c r="DL15" s="2"/>
      <c r="DM15" s="2"/>
      <c r="DN15" s="2"/>
      <c r="DO15" s="2"/>
      <c r="DP15" s="2"/>
      <c r="DQ15" s="2"/>
      <c r="DR15" s="2"/>
      <c r="DS15" s="2"/>
      <c r="DT15" s="2"/>
      <c r="DU15" s="2"/>
      <c r="DV15" s="2"/>
      <c r="DW15" s="2"/>
      <c r="DX15" s="2"/>
      <c r="DY15" s="2"/>
      <c r="DZ15" s="2"/>
      <c r="EA15" s="2"/>
      <c r="EB15" s="2"/>
      <c r="EC15" s="2"/>
      <c r="ED15" s="2"/>
      <c r="EE15" s="2"/>
      <c r="EF15" s="2"/>
      <c r="EG15" s="2"/>
      <c r="EH15" s="2"/>
      <c r="EI15" s="2"/>
      <c r="EJ15" s="2"/>
      <c r="EK15" s="2"/>
      <c r="EL15" s="2"/>
      <c r="EM15" s="2"/>
      <c r="EN15" s="2"/>
      <c r="EO15" s="2"/>
      <c r="EP15" s="2"/>
      <c r="EQ15" s="2"/>
      <c r="ER15" s="2"/>
      <c r="ES15" s="2"/>
      <c r="ET15" s="2"/>
      <c r="EU15" s="2"/>
      <c r="EV15" s="2"/>
      <c r="EW15" s="2"/>
      <c r="EX15" s="2"/>
      <c r="EY15" s="2"/>
      <c r="EZ15" s="2"/>
      <c r="FA15" s="2"/>
      <c r="FB15" s="2"/>
      <c r="FC15" s="2"/>
      <c r="FD15" s="2"/>
      <c r="FE15" s="2"/>
      <c r="FF15" s="2"/>
      <c r="FG15" s="2"/>
      <c r="FH15" s="2"/>
      <c r="FI15" s="2"/>
      <c r="FJ15" s="2"/>
      <c r="FK15" s="2"/>
      <c r="FL15" s="2"/>
      <c r="FM15" s="2"/>
      <c r="FN15" s="2"/>
      <c r="FO15" s="2"/>
      <c r="FP15" s="2"/>
      <c r="FQ15" s="2"/>
      <c r="FR15" s="2"/>
      <c r="FS15" s="2"/>
      <c r="FT15" s="2"/>
      <c r="FU15" s="2"/>
      <c r="FV15" s="2"/>
      <c r="FW15" s="2"/>
      <c r="FX15" s="2"/>
      <c r="FY15" s="2"/>
      <c r="FZ15" s="2"/>
      <c r="GA15" s="2"/>
      <c r="GB15" s="2"/>
      <c r="GC15" s="2"/>
      <c r="GD15" s="2"/>
      <c r="GE15" s="2"/>
      <c r="GF15" s="2"/>
      <c r="GG15" s="2"/>
      <c r="GH15" s="2"/>
      <c r="GI15" s="2"/>
      <c r="GJ15" s="2"/>
      <c r="GK15" s="2"/>
      <c r="GL15" s="2"/>
      <c r="GM15" s="2"/>
      <c r="GN15" s="2"/>
      <c r="GO15" s="2"/>
      <c r="GP15" s="2"/>
      <c r="GQ15" s="2"/>
      <c r="GR15" s="2"/>
      <c r="GS15" s="2"/>
      <c r="GT15" s="2"/>
      <c r="GU15" s="2"/>
      <c r="GV15" s="2"/>
      <c r="GW15" s="2"/>
      <c r="GX15" s="2"/>
      <c r="GY15" s="2"/>
      <c r="GZ15" s="2"/>
      <c r="HA15" s="2"/>
      <c r="HB15" s="2"/>
      <c r="HC15" s="2"/>
      <c r="HD15" s="2"/>
      <c r="HE15" s="2"/>
      <c r="HF15" s="2"/>
      <c r="HG15" s="2"/>
      <c r="HH15" s="2"/>
      <c r="HI15" s="2"/>
      <c r="HJ15" s="2"/>
      <c r="HK15" s="2"/>
      <c r="HL15" s="2"/>
      <c r="HM15" s="2"/>
      <c r="HN15" s="2"/>
      <c r="HO15" s="2"/>
      <c r="HP15" s="2"/>
      <c r="HQ15" s="2"/>
      <c r="HR15" s="2"/>
      <c r="HS15" s="2"/>
      <c r="HT15" s="2"/>
      <c r="HU15" s="2"/>
      <c r="HV15" s="2"/>
      <c r="HW15" s="2"/>
      <c r="HX15" s="2"/>
      <c r="HY15" s="2"/>
      <c r="HZ15" s="2"/>
      <c r="IA15" s="2"/>
      <c r="IB15" s="2"/>
      <c r="IC15" s="2"/>
      <c r="ID15" s="2"/>
      <c r="IE15" s="2"/>
      <c r="IF15" s="2"/>
      <c r="IG15" s="2"/>
      <c r="IH15" s="2"/>
      <c r="II15" s="2"/>
      <c r="IJ15" s="2"/>
      <c r="IK15" s="2"/>
      <c r="IL15" s="2"/>
      <c r="IM15" s="2"/>
      <c r="IN15" s="2"/>
      <c r="IO15" s="2"/>
      <c r="IP15" s="2"/>
      <c r="IQ15" s="2"/>
      <c r="IR15" s="2"/>
      <c r="IS15" s="2"/>
      <c r="IT15" s="2"/>
      <c r="IU15" s="2"/>
      <c r="IV15" s="2"/>
    </row>
    <row r="16" spans="1:256" ht="11.85" customHeight="1">
      <c r="A16" s="24" t="s">
        <v>10</v>
      </c>
      <c r="B16" s="25"/>
      <c r="C16" s="26">
        <v>137</v>
      </c>
      <c r="D16" s="26">
        <v>125</v>
      </c>
      <c r="E16" s="273">
        <f t="shared" si="2"/>
        <v>-8.7591240875912408</v>
      </c>
      <c r="F16" s="26">
        <v>128</v>
      </c>
      <c r="G16" s="27">
        <v>128</v>
      </c>
      <c r="H16" s="273" t="str">
        <f t="shared" si="0"/>
        <v>-</v>
      </c>
      <c r="I16" s="26">
        <f t="shared" si="3"/>
        <v>265</v>
      </c>
      <c r="J16" s="28">
        <f t="shared" si="4"/>
        <v>253</v>
      </c>
      <c r="K16" s="281">
        <f t="shared" si="1"/>
        <v>-4.5283018867924518</v>
      </c>
      <c r="L16" s="8"/>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c r="CY16" s="2"/>
      <c r="CZ16" s="2"/>
      <c r="DA16" s="2"/>
      <c r="DB16" s="2"/>
      <c r="DC16" s="2"/>
      <c r="DD16" s="2"/>
      <c r="DE16" s="2"/>
      <c r="DF16" s="2"/>
      <c r="DG16" s="2"/>
      <c r="DH16" s="2"/>
      <c r="DI16" s="2"/>
      <c r="DJ16" s="2"/>
      <c r="DK16" s="2"/>
      <c r="DL16" s="2"/>
      <c r="DM16" s="2"/>
      <c r="DN16" s="2"/>
      <c r="DO16" s="2"/>
      <c r="DP16" s="2"/>
      <c r="DQ16" s="2"/>
      <c r="DR16" s="2"/>
      <c r="DS16" s="2"/>
      <c r="DT16" s="2"/>
      <c r="DU16" s="2"/>
      <c r="DV16" s="2"/>
      <c r="DW16" s="2"/>
      <c r="DX16" s="2"/>
      <c r="DY16" s="2"/>
      <c r="DZ16" s="2"/>
      <c r="EA16" s="2"/>
      <c r="EB16" s="2"/>
      <c r="EC16" s="2"/>
      <c r="ED16" s="2"/>
      <c r="EE16" s="2"/>
      <c r="EF16" s="2"/>
      <c r="EG16" s="2"/>
      <c r="EH16" s="2"/>
      <c r="EI16" s="2"/>
      <c r="EJ16" s="2"/>
      <c r="EK16" s="2"/>
      <c r="EL16" s="2"/>
      <c r="EM16" s="2"/>
      <c r="EN16" s="2"/>
      <c r="EO16" s="2"/>
      <c r="EP16" s="2"/>
      <c r="EQ16" s="2"/>
      <c r="ER16" s="2"/>
      <c r="ES16" s="2"/>
      <c r="ET16" s="2"/>
      <c r="EU16" s="2"/>
      <c r="EV16" s="2"/>
      <c r="EW16" s="2"/>
      <c r="EX16" s="2"/>
      <c r="EY16" s="2"/>
      <c r="EZ16" s="2"/>
      <c r="FA16" s="2"/>
      <c r="FB16" s="2"/>
      <c r="FC16" s="2"/>
      <c r="FD16" s="2"/>
      <c r="FE16" s="2"/>
      <c r="FF16" s="2"/>
      <c r="FG16" s="2"/>
      <c r="FH16" s="2"/>
      <c r="FI16" s="2"/>
      <c r="FJ16" s="2"/>
      <c r="FK16" s="2"/>
      <c r="FL16" s="2"/>
      <c r="FM16" s="2"/>
      <c r="FN16" s="2"/>
      <c r="FO16" s="2"/>
      <c r="FP16" s="2"/>
      <c r="FQ16" s="2"/>
      <c r="FR16" s="2"/>
      <c r="FS16" s="2"/>
      <c r="FT16" s="2"/>
      <c r="FU16" s="2"/>
      <c r="FV16" s="2"/>
      <c r="FW16" s="2"/>
      <c r="FX16" s="2"/>
      <c r="FY16" s="2"/>
      <c r="FZ16" s="2"/>
      <c r="GA16" s="2"/>
      <c r="GB16" s="2"/>
      <c r="GC16" s="2"/>
      <c r="GD16" s="2"/>
      <c r="GE16" s="2"/>
      <c r="GF16" s="2"/>
      <c r="GG16" s="2"/>
      <c r="GH16" s="2"/>
      <c r="GI16" s="2"/>
      <c r="GJ16" s="2"/>
      <c r="GK16" s="2"/>
      <c r="GL16" s="2"/>
      <c r="GM16" s="2"/>
      <c r="GN16" s="2"/>
      <c r="GO16" s="2"/>
      <c r="GP16" s="2"/>
      <c r="GQ16" s="2"/>
      <c r="GR16" s="2"/>
      <c r="GS16" s="2"/>
      <c r="GT16" s="2"/>
      <c r="GU16" s="2"/>
      <c r="GV16" s="2"/>
      <c r="GW16" s="2"/>
      <c r="GX16" s="2"/>
      <c r="GY16" s="2"/>
      <c r="GZ16" s="2"/>
      <c r="HA16" s="2"/>
      <c r="HB16" s="2"/>
      <c r="HC16" s="2"/>
      <c r="HD16" s="2"/>
      <c r="HE16" s="2"/>
      <c r="HF16" s="2"/>
      <c r="HG16" s="2"/>
      <c r="HH16" s="2"/>
      <c r="HI16" s="2"/>
      <c r="HJ16" s="2"/>
      <c r="HK16" s="2"/>
      <c r="HL16" s="2"/>
      <c r="HM16" s="2"/>
      <c r="HN16" s="2"/>
      <c r="HO16" s="2"/>
      <c r="HP16" s="2"/>
      <c r="HQ16" s="2"/>
      <c r="HR16" s="2"/>
      <c r="HS16" s="2"/>
      <c r="HT16" s="2"/>
      <c r="HU16" s="2"/>
      <c r="HV16" s="2"/>
      <c r="HW16" s="2"/>
      <c r="HX16" s="2"/>
      <c r="HY16" s="2"/>
      <c r="HZ16" s="2"/>
      <c r="IA16" s="2"/>
      <c r="IB16" s="2"/>
      <c r="IC16" s="2"/>
      <c r="ID16" s="2"/>
      <c r="IE16" s="2"/>
      <c r="IF16" s="2"/>
      <c r="IG16" s="2"/>
      <c r="IH16" s="2"/>
      <c r="II16" s="2"/>
      <c r="IJ16" s="2"/>
      <c r="IK16" s="2"/>
      <c r="IL16" s="2"/>
      <c r="IM16" s="2"/>
      <c r="IN16" s="2"/>
      <c r="IO16" s="2"/>
      <c r="IP16" s="2"/>
      <c r="IQ16" s="2"/>
      <c r="IR16" s="2"/>
      <c r="IS16" s="2"/>
      <c r="IT16" s="2"/>
      <c r="IU16" s="2"/>
      <c r="IV16" s="2"/>
    </row>
    <row r="17" spans="1:256" ht="11.85" customHeight="1">
      <c r="A17" s="24" t="s">
        <v>11</v>
      </c>
      <c r="B17" s="25"/>
      <c r="C17" s="26">
        <v>914</v>
      </c>
      <c r="D17" s="26">
        <v>1104</v>
      </c>
      <c r="E17" s="273">
        <f t="shared" si="2"/>
        <v>20.787746170678332</v>
      </c>
      <c r="F17" s="26">
        <v>1525</v>
      </c>
      <c r="G17" s="27">
        <v>1398</v>
      </c>
      <c r="H17" s="273">
        <f t="shared" si="0"/>
        <v>-8.3278688524590194</v>
      </c>
      <c r="I17" s="26">
        <f t="shared" si="3"/>
        <v>2439</v>
      </c>
      <c r="J17" s="28">
        <f t="shared" si="4"/>
        <v>2502</v>
      </c>
      <c r="K17" s="281">
        <f t="shared" si="1"/>
        <v>2.583025830258312</v>
      </c>
      <c r="L17" s="8"/>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c r="CY17" s="2"/>
      <c r="CZ17" s="2"/>
      <c r="DA17" s="2"/>
      <c r="DB17" s="2"/>
      <c r="DC17" s="2"/>
      <c r="DD17" s="2"/>
      <c r="DE17" s="2"/>
      <c r="DF17" s="2"/>
      <c r="DG17" s="2"/>
      <c r="DH17" s="2"/>
      <c r="DI17" s="2"/>
      <c r="DJ17" s="2"/>
      <c r="DK17" s="2"/>
      <c r="DL17" s="2"/>
      <c r="DM17" s="2"/>
      <c r="DN17" s="2"/>
      <c r="DO17" s="2"/>
      <c r="DP17" s="2"/>
      <c r="DQ17" s="2"/>
      <c r="DR17" s="2"/>
      <c r="DS17" s="2"/>
      <c r="DT17" s="2"/>
      <c r="DU17" s="2"/>
      <c r="DV17" s="2"/>
      <c r="DW17" s="2"/>
      <c r="DX17" s="2"/>
      <c r="DY17" s="2"/>
      <c r="DZ17" s="2"/>
      <c r="EA17" s="2"/>
      <c r="EB17" s="2"/>
      <c r="EC17" s="2"/>
      <c r="ED17" s="2"/>
      <c r="EE17" s="2"/>
      <c r="EF17" s="2"/>
      <c r="EG17" s="2"/>
      <c r="EH17" s="2"/>
      <c r="EI17" s="2"/>
      <c r="EJ17" s="2"/>
      <c r="EK17" s="2"/>
      <c r="EL17" s="2"/>
      <c r="EM17" s="2"/>
      <c r="EN17" s="2"/>
      <c r="EO17" s="2"/>
      <c r="EP17" s="2"/>
      <c r="EQ17" s="2"/>
      <c r="ER17" s="2"/>
      <c r="ES17" s="2"/>
      <c r="ET17" s="2"/>
      <c r="EU17" s="2"/>
      <c r="EV17" s="2"/>
      <c r="EW17" s="2"/>
      <c r="EX17" s="2"/>
      <c r="EY17" s="2"/>
      <c r="EZ17" s="2"/>
      <c r="FA17" s="2"/>
      <c r="FB17" s="2"/>
      <c r="FC17" s="2"/>
      <c r="FD17" s="2"/>
      <c r="FE17" s="2"/>
      <c r="FF17" s="2"/>
      <c r="FG17" s="2"/>
      <c r="FH17" s="2"/>
      <c r="FI17" s="2"/>
      <c r="FJ17" s="2"/>
      <c r="FK17" s="2"/>
      <c r="FL17" s="2"/>
      <c r="FM17" s="2"/>
      <c r="FN17" s="2"/>
      <c r="FO17" s="2"/>
      <c r="FP17" s="2"/>
      <c r="FQ17" s="2"/>
      <c r="FR17" s="2"/>
      <c r="FS17" s="2"/>
      <c r="FT17" s="2"/>
      <c r="FU17" s="2"/>
      <c r="FV17" s="2"/>
      <c r="FW17" s="2"/>
      <c r="FX17" s="2"/>
      <c r="FY17" s="2"/>
      <c r="FZ17" s="2"/>
      <c r="GA17" s="2"/>
      <c r="GB17" s="2"/>
      <c r="GC17" s="2"/>
      <c r="GD17" s="2"/>
      <c r="GE17" s="2"/>
      <c r="GF17" s="2"/>
      <c r="GG17" s="2"/>
      <c r="GH17" s="2"/>
      <c r="GI17" s="2"/>
      <c r="GJ17" s="2"/>
      <c r="GK17" s="2"/>
      <c r="GL17" s="2"/>
      <c r="GM17" s="2"/>
      <c r="GN17" s="2"/>
      <c r="GO17" s="2"/>
      <c r="GP17" s="2"/>
      <c r="GQ17" s="2"/>
      <c r="GR17" s="2"/>
      <c r="GS17" s="2"/>
      <c r="GT17" s="2"/>
      <c r="GU17" s="2"/>
      <c r="GV17" s="2"/>
      <c r="GW17" s="2"/>
      <c r="GX17" s="2"/>
      <c r="GY17" s="2"/>
      <c r="GZ17" s="2"/>
      <c r="HA17" s="2"/>
      <c r="HB17" s="2"/>
      <c r="HC17" s="2"/>
      <c r="HD17" s="2"/>
      <c r="HE17" s="2"/>
      <c r="HF17" s="2"/>
      <c r="HG17" s="2"/>
      <c r="HH17" s="2"/>
      <c r="HI17" s="2"/>
      <c r="HJ17" s="2"/>
      <c r="HK17" s="2"/>
      <c r="HL17" s="2"/>
      <c r="HM17" s="2"/>
      <c r="HN17" s="2"/>
      <c r="HO17" s="2"/>
      <c r="HP17" s="2"/>
      <c r="HQ17" s="2"/>
      <c r="HR17" s="2"/>
      <c r="HS17" s="2"/>
      <c r="HT17" s="2"/>
      <c r="HU17" s="2"/>
      <c r="HV17" s="2"/>
      <c r="HW17" s="2"/>
      <c r="HX17" s="2"/>
      <c r="HY17" s="2"/>
      <c r="HZ17" s="2"/>
      <c r="IA17" s="2"/>
      <c r="IB17" s="2"/>
      <c r="IC17" s="2"/>
      <c r="ID17" s="2"/>
      <c r="IE17" s="2"/>
      <c r="IF17" s="2"/>
      <c r="IG17" s="2"/>
      <c r="IH17" s="2"/>
      <c r="II17" s="2"/>
      <c r="IJ17" s="2"/>
      <c r="IK17" s="2"/>
      <c r="IL17" s="2"/>
      <c r="IM17" s="2"/>
      <c r="IN17" s="2"/>
      <c r="IO17" s="2"/>
      <c r="IP17" s="2"/>
      <c r="IQ17" s="2"/>
      <c r="IR17" s="2"/>
      <c r="IS17" s="2"/>
      <c r="IT17" s="2"/>
      <c r="IU17" s="2"/>
      <c r="IV17" s="2"/>
    </row>
    <row r="18" spans="1:256" ht="11.85" customHeight="1">
      <c r="A18" s="24" t="s">
        <v>12</v>
      </c>
      <c r="B18" s="25"/>
      <c r="C18" s="26">
        <f>SUM(C15:C17)</f>
        <v>1225</v>
      </c>
      <c r="D18" s="26">
        <f>SUM(D15:D17)</f>
        <v>1416</v>
      </c>
      <c r="E18" s="273">
        <f t="shared" si="2"/>
        <v>15.591836734693887</v>
      </c>
      <c r="F18" s="26">
        <f>SUM(F15:F17)</f>
        <v>1989</v>
      </c>
      <c r="G18" s="27">
        <f>SUM(G15:G17)</f>
        <v>1900</v>
      </c>
      <c r="H18" s="273">
        <f t="shared" si="0"/>
        <v>-4.4746103569632929</v>
      </c>
      <c r="I18" s="26">
        <f t="shared" si="3"/>
        <v>3214</v>
      </c>
      <c r="J18" s="28">
        <f t="shared" si="4"/>
        <v>3316</v>
      </c>
      <c r="K18" s="281">
        <f t="shared" si="1"/>
        <v>3.1736154324828902</v>
      </c>
      <c r="L18" s="8"/>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c r="CZ18" s="2"/>
      <c r="DA18" s="2"/>
      <c r="DB18" s="2"/>
      <c r="DC18" s="2"/>
      <c r="DD18" s="2"/>
      <c r="DE18" s="2"/>
      <c r="DF18" s="2"/>
      <c r="DG18" s="2"/>
      <c r="DH18" s="2"/>
      <c r="DI18" s="2"/>
      <c r="DJ18" s="2"/>
      <c r="DK18" s="2"/>
      <c r="DL18" s="2"/>
      <c r="DM18" s="2"/>
      <c r="DN18" s="2"/>
      <c r="DO18" s="2"/>
      <c r="DP18" s="2"/>
      <c r="DQ18" s="2"/>
      <c r="DR18" s="2"/>
      <c r="DS18" s="2"/>
      <c r="DT18" s="2"/>
      <c r="DU18" s="2"/>
      <c r="DV18" s="2"/>
      <c r="DW18" s="2"/>
      <c r="DX18" s="2"/>
      <c r="DY18" s="2"/>
      <c r="DZ18" s="2"/>
      <c r="EA18" s="2"/>
      <c r="EB18" s="2"/>
      <c r="EC18" s="2"/>
      <c r="ED18" s="2"/>
      <c r="EE18" s="2"/>
      <c r="EF18" s="2"/>
      <c r="EG18" s="2"/>
      <c r="EH18" s="2"/>
      <c r="EI18" s="2"/>
      <c r="EJ18" s="2"/>
      <c r="EK18" s="2"/>
      <c r="EL18" s="2"/>
      <c r="EM18" s="2"/>
      <c r="EN18" s="2"/>
      <c r="EO18" s="2"/>
      <c r="EP18" s="2"/>
      <c r="EQ18" s="2"/>
      <c r="ER18" s="2"/>
      <c r="ES18" s="2"/>
      <c r="ET18" s="2"/>
      <c r="EU18" s="2"/>
      <c r="EV18" s="2"/>
      <c r="EW18" s="2"/>
      <c r="EX18" s="2"/>
      <c r="EY18" s="2"/>
      <c r="EZ18" s="2"/>
      <c r="FA18" s="2"/>
      <c r="FB18" s="2"/>
      <c r="FC18" s="2"/>
      <c r="FD18" s="2"/>
      <c r="FE18" s="2"/>
      <c r="FF18" s="2"/>
      <c r="FG18" s="2"/>
      <c r="FH18" s="2"/>
      <c r="FI18" s="2"/>
      <c r="FJ18" s="2"/>
      <c r="FK18" s="2"/>
      <c r="FL18" s="2"/>
      <c r="FM18" s="2"/>
      <c r="FN18" s="2"/>
      <c r="FO18" s="2"/>
      <c r="FP18" s="2"/>
      <c r="FQ18" s="2"/>
      <c r="FR18" s="2"/>
      <c r="FS18" s="2"/>
      <c r="FT18" s="2"/>
      <c r="FU18" s="2"/>
      <c r="FV18" s="2"/>
      <c r="FW18" s="2"/>
      <c r="FX18" s="2"/>
      <c r="FY18" s="2"/>
      <c r="FZ18" s="2"/>
      <c r="GA18" s="2"/>
      <c r="GB18" s="2"/>
      <c r="GC18" s="2"/>
      <c r="GD18" s="2"/>
      <c r="GE18" s="2"/>
      <c r="GF18" s="2"/>
      <c r="GG18" s="2"/>
      <c r="GH18" s="2"/>
      <c r="GI18" s="2"/>
      <c r="GJ18" s="2"/>
      <c r="GK18" s="2"/>
      <c r="GL18" s="2"/>
      <c r="GM18" s="2"/>
      <c r="GN18" s="2"/>
      <c r="GO18" s="2"/>
      <c r="GP18" s="2"/>
      <c r="GQ18" s="2"/>
      <c r="GR18" s="2"/>
      <c r="GS18" s="2"/>
      <c r="GT18" s="2"/>
      <c r="GU18" s="2"/>
      <c r="GV18" s="2"/>
      <c r="GW18" s="2"/>
      <c r="GX18" s="2"/>
      <c r="GY18" s="2"/>
      <c r="GZ18" s="2"/>
      <c r="HA18" s="2"/>
      <c r="HB18" s="2"/>
      <c r="HC18" s="2"/>
      <c r="HD18" s="2"/>
      <c r="HE18" s="2"/>
      <c r="HF18" s="2"/>
      <c r="HG18" s="2"/>
      <c r="HH18" s="2"/>
      <c r="HI18" s="2"/>
      <c r="HJ18" s="2"/>
      <c r="HK18" s="2"/>
      <c r="HL18" s="2"/>
      <c r="HM18" s="2"/>
      <c r="HN18" s="2"/>
      <c r="HO18" s="2"/>
      <c r="HP18" s="2"/>
      <c r="HQ18" s="2"/>
      <c r="HR18" s="2"/>
      <c r="HS18" s="2"/>
      <c r="HT18" s="2"/>
      <c r="HU18" s="2"/>
      <c r="HV18" s="2"/>
      <c r="HW18" s="2"/>
      <c r="HX18" s="2"/>
      <c r="HY18" s="2"/>
      <c r="HZ18" s="2"/>
      <c r="IA18" s="2"/>
      <c r="IB18" s="2"/>
      <c r="IC18" s="2"/>
      <c r="ID18" s="2"/>
      <c r="IE18" s="2"/>
      <c r="IF18" s="2"/>
      <c r="IG18" s="2"/>
      <c r="IH18" s="2"/>
      <c r="II18" s="2"/>
      <c r="IJ18" s="2"/>
      <c r="IK18" s="2"/>
      <c r="IL18" s="2"/>
      <c r="IM18" s="2"/>
      <c r="IN18" s="2"/>
      <c r="IO18" s="2"/>
      <c r="IP18" s="2"/>
      <c r="IQ18" s="2"/>
      <c r="IR18" s="2"/>
      <c r="IS18" s="2"/>
      <c r="IT18" s="2"/>
      <c r="IU18" s="2"/>
      <c r="IV18" s="2"/>
    </row>
    <row r="19" spans="1:256" ht="11.85" customHeight="1">
      <c r="A19" s="30" t="s">
        <v>13</v>
      </c>
      <c r="B19" s="31"/>
      <c r="C19" s="32">
        <v>536</v>
      </c>
      <c r="D19" s="32">
        <v>679</v>
      </c>
      <c r="E19" s="274">
        <f t="shared" si="2"/>
        <v>26.679104477611947</v>
      </c>
      <c r="F19" s="32">
        <v>2714</v>
      </c>
      <c r="G19" s="33">
        <v>3519</v>
      </c>
      <c r="H19" s="274">
        <f t="shared" si="0"/>
        <v>29.661016949152554</v>
      </c>
      <c r="I19" s="32">
        <f t="shared" si="3"/>
        <v>3250</v>
      </c>
      <c r="J19" s="34">
        <f t="shared" si="4"/>
        <v>4198</v>
      </c>
      <c r="K19" s="282">
        <f t="shared" si="1"/>
        <v>29.169230769230769</v>
      </c>
      <c r="L19" s="8"/>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c r="CY19" s="2"/>
      <c r="CZ19" s="2"/>
      <c r="DA19" s="2"/>
      <c r="DB19" s="2"/>
      <c r="DC19" s="2"/>
      <c r="DD19" s="2"/>
      <c r="DE19" s="2"/>
      <c r="DF19" s="2"/>
      <c r="DG19" s="2"/>
      <c r="DH19" s="2"/>
      <c r="DI19" s="2"/>
      <c r="DJ19" s="2"/>
      <c r="DK19" s="2"/>
      <c r="DL19" s="2"/>
      <c r="DM19" s="2"/>
      <c r="DN19" s="2"/>
      <c r="DO19" s="2"/>
      <c r="DP19" s="2"/>
      <c r="DQ19" s="2"/>
      <c r="DR19" s="2"/>
      <c r="DS19" s="2"/>
      <c r="DT19" s="2"/>
      <c r="DU19" s="2"/>
      <c r="DV19" s="2"/>
      <c r="DW19" s="2"/>
      <c r="DX19" s="2"/>
      <c r="DY19" s="2"/>
      <c r="DZ19" s="2"/>
      <c r="EA19" s="2"/>
      <c r="EB19" s="2"/>
      <c r="EC19" s="2"/>
      <c r="ED19" s="2"/>
      <c r="EE19" s="2"/>
      <c r="EF19" s="2"/>
      <c r="EG19" s="2"/>
      <c r="EH19" s="2"/>
      <c r="EI19" s="2"/>
      <c r="EJ19" s="2"/>
      <c r="EK19" s="2"/>
      <c r="EL19" s="2"/>
      <c r="EM19" s="2"/>
      <c r="EN19" s="2"/>
      <c r="EO19" s="2"/>
      <c r="EP19" s="2"/>
      <c r="EQ19" s="2"/>
      <c r="ER19" s="2"/>
      <c r="ES19" s="2"/>
      <c r="ET19" s="2"/>
      <c r="EU19" s="2"/>
      <c r="EV19" s="2"/>
      <c r="EW19" s="2"/>
      <c r="EX19" s="2"/>
      <c r="EY19" s="2"/>
      <c r="EZ19" s="2"/>
      <c r="FA19" s="2"/>
      <c r="FB19" s="2"/>
      <c r="FC19" s="2"/>
      <c r="FD19" s="2"/>
      <c r="FE19" s="2"/>
      <c r="FF19" s="2"/>
      <c r="FG19" s="2"/>
      <c r="FH19" s="2"/>
      <c r="FI19" s="2"/>
      <c r="FJ19" s="2"/>
      <c r="FK19" s="2"/>
      <c r="FL19" s="2"/>
      <c r="FM19" s="2"/>
      <c r="FN19" s="2"/>
      <c r="FO19" s="2"/>
      <c r="FP19" s="2"/>
      <c r="FQ19" s="2"/>
      <c r="FR19" s="2"/>
      <c r="FS19" s="2"/>
      <c r="FT19" s="2"/>
      <c r="FU19" s="2"/>
      <c r="FV19" s="2"/>
      <c r="FW19" s="2"/>
      <c r="FX19" s="2"/>
      <c r="FY19" s="2"/>
      <c r="FZ19" s="2"/>
      <c r="GA19" s="2"/>
      <c r="GB19" s="2"/>
      <c r="GC19" s="2"/>
      <c r="GD19" s="2"/>
      <c r="GE19" s="2"/>
      <c r="GF19" s="2"/>
      <c r="GG19" s="2"/>
      <c r="GH19" s="2"/>
      <c r="GI19" s="2"/>
      <c r="GJ19" s="2"/>
      <c r="GK19" s="2"/>
      <c r="GL19" s="2"/>
      <c r="GM19" s="2"/>
      <c r="GN19" s="2"/>
      <c r="GO19" s="2"/>
      <c r="GP19" s="2"/>
      <c r="GQ19" s="2"/>
      <c r="GR19" s="2"/>
      <c r="GS19" s="2"/>
      <c r="GT19" s="2"/>
      <c r="GU19" s="2"/>
      <c r="GV19" s="2"/>
      <c r="GW19" s="2"/>
      <c r="GX19" s="2"/>
      <c r="GY19" s="2"/>
      <c r="GZ19" s="2"/>
      <c r="HA19" s="2"/>
      <c r="HB19" s="2"/>
      <c r="HC19" s="2"/>
      <c r="HD19" s="2"/>
      <c r="HE19" s="2"/>
      <c r="HF19" s="2"/>
      <c r="HG19" s="2"/>
      <c r="HH19" s="2"/>
      <c r="HI19" s="2"/>
      <c r="HJ19" s="2"/>
      <c r="HK19" s="2"/>
      <c r="HL19" s="2"/>
      <c r="HM19" s="2"/>
      <c r="HN19" s="2"/>
      <c r="HO19" s="2"/>
      <c r="HP19" s="2"/>
      <c r="HQ19" s="2"/>
      <c r="HR19" s="2"/>
      <c r="HS19" s="2"/>
      <c r="HT19" s="2"/>
      <c r="HU19" s="2"/>
      <c r="HV19" s="2"/>
      <c r="HW19" s="2"/>
      <c r="HX19" s="2"/>
      <c r="HY19" s="2"/>
      <c r="HZ19" s="2"/>
      <c r="IA19" s="2"/>
      <c r="IB19" s="2"/>
      <c r="IC19" s="2"/>
      <c r="ID19" s="2"/>
      <c r="IE19" s="2"/>
      <c r="IF19" s="2"/>
      <c r="IG19" s="2"/>
      <c r="IH19" s="2"/>
      <c r="II19" s="2"/>
      <c r="IJ19" s="2"/>
      <c r="IK19" s="2"/>
      <c r="IL19" s="2"/>
      <c r="IM19" s="2"/>
      <c r="IN19" s="2"/>
      <c r="IO19" s="2"/>
      <c r="IP19" s="2"/>
      <c r="IQ19" s="2"/>
      <c r="IR19" s="2"/>
      <c r="IS19" s="2"/>
      <c r="IT19" s="2"/>
      <c r="IU19" s="2"/>
      <c r="IV19" s="2"/>
    </row>
    <row r="20" spans="1:256" ht="13.5" customHeight="1">
      <c r="A20" s="36" t="s">
        <v>14</v>
      </c>
      <c r="B20" s="37"/>
      <c r="C20" s="38">
        <f>SUM(C12:C14,C18:C19)</f>
        <v>4335</v>
      </c>
      <c r="D20" s="38">
        <f>SUM(D12:D14,D18:D19)</f>
        <v>4612</v>
      </c>
      <c r="E20" s="275">
        <f t="shared" si="2"/>
        <v>6.3898500576701212</v>
      </c>
      <c r="F20" s="38">
        <f>SUM(F12:F14,F18:F19)</f>
        <v>13449</v>
      </c>
      <c r="G20" s="38">
        <f>SUM(G12:G14,G18:G19)</f>
        <v>13185</v>
      </c>
      <c r="H20" s="275">
        <f t="shared" si="0"/>
        <v>-1.9629712246263642</v>
      </c>
      <c r="I20" s="38">
        <f t="shared" si="3"/>
        <v>17784</v>
      </c>
      <c r="J20" s="38">
        <f t="shared" si="4"/>
        <v>17797</v>
      </c>
      <c r="K20" s="283">
        <f t="shared" si="1"/>
        <v>7.309941520468044E-2</v>
      </c>
      <c r="L20" s="8"/>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c r="CY20" s="2"/>
      <c r="CZ20" s="2"/>
      <c r="DA20" s="2"/>
      <c r="DB20" s="2"/>
      <c r="DC20" s="2"/>
      <c r="DD20" s="2"/>
      <c r="DE20" s="2"/>
      <c r="DF20" s="2"/>
      <c r="DG20" s="2"/>
      <c r="DH20" s="2"/>
      <c r="DI20" s="2"/>
      <c r="DJ20" s="2"/>
      <c r="DK20" s="2"/>
      <c r="DL20" s="2"/>
      <c r="DM20" s="2"/>
      <c r="DN20" s="2"/>
      <c r="DO20" s="2"/>
      <c r="DP20" s="2"/>
      <c r="DQ20" s="2"/>
      <c r="DR20" s="2"/>
      <c r="DS20" s="2"/>
      <c r="DT20" s="2"/>
      <c r="DU20" s="2"/>
      <c r="DV20" s="2"/>
      <c r="DW20" s="2"/>
      <c r="DX20" s="2"/>
      <c r="DY20" s="2"/>
      <c r="DZ20" s="2"/>
      <c r="EA20" s="2"/>
      <c r="EB20" s="2"/>
      <c r="EC20" s="2"/>
      <c r="ED20" s="2"/>
      <c r="EE20" s="2"/>
      <c r="EF20" s="2"/>
      <c r="EG20" s="2"/>
      <c r="EH20" s="2"/>
      <c r="EI20" s="2"/>
      <c r="EJ20" s="2"/>
      <c r="EK20" s="2"/>
      <c r="EL20" s="2"/>
      <c r="EM20" s="2"/>
      <c r="EN20" s="2"/>
      <c r="EO20" s="2"/>
      <c r="EP20" s="2"/>
      <c r="EQ20" s="2"/>
      <c r="ER20" s="2"/>
      <c r="ES20" s="2"/>
      <c r="ET20" s="2"/>
      <c r="EU20" s="2"/>
      <c r="EV20" s="2"/>
      <c r="EW20" s="2"/>
      <c r="EX20" s="2"/>
      <c r="EY20" s="2"/>
      <c r="EZ20" s="2"/>
      <c r="FA20" s="2"/>
      <c r="FB20" s="2"/>
      <c r="FC20" s="2"/>
      <c r="FD20" s="2"/>
      <c r="FE20" s="2"/>
      <c r="FF20" s="2"/>
      <c r="FG20" s="2"/>
      <c r="FH20" s="2"/>
      <c r="FI20" s="2"/>
      <c r="FJ20" s="2"/>
      <c r="FK20" s="2"/>
      <c r="FL20" s="2"/>
      <c r="FM20" s="2"/>
      <c r="FN20" s="2"/>
      <c r="FO20" s="2"/>
      <c r="FP20" s="2"/>
      <c r="FQ20" s="2"/>
      <c r="FR20" s="2"/>
      <c r="FS20" s="2"/>
      <c r="FT20" s="2"/>
      <c r="FU20" s="2"/>
      <c r="FV20" s="2"/>
      <c r="FW20" s="2"/>
      <c r="FX20" s="2"/>
      <c r="FY20" s="2"/>
      <c r="FZ20" s="2"/>
      <c r="GA20" s="2"/>
      <c r="GB20" s="2"/>
      <c r="GC20" s="2"/>
      <c r="GD20" s="2"/>
      <c r="GE20" s="2"/>
      <c r="GF20" s="2"/>
      <c r="GG20" s="2"/>
      <c r="GH20" s="2"/>
      <c r="GI20" s="2"/>
      <c r="GJ20" s="2"/>
      <c r="GK20" s="2"/>
      <c r="GL20" s="2"/>
      <c r="GM20" s="2"/>
      <c r="GN20" s="2"/>
      <c r="GO20" s="2"/>
      <c r="GP20" s="2"/>
      <c r="GQ20" s="2"/>
      <c r="GR20" s="2"/>
      <c r="GS20" s="2"/>
      <c r="GT20" s="2"/>
      <c r="GU20" s="2"/>
      <c r="GV20" s="2"/>
      <c r="GW20" s="2"/>
      <c r="GX20" s="2"/>
      <c r="GY20" s="2"/>
      <c r="GZ20" s="2"/>
      <c r="HA20" s="2"/>
      <c r="HB20" s="2"/>
      <c r="HC20" s="2"/>
      <c r="HD20" s="2"/>
      <c r="HE20" s="2"/>
      <c r="HF20" s="2"/>
      <c r="HG20" s="2"/>
      <c r="HH20" s="2"/>
      <c r="HI20" s="2"/>
      <c r="HJ20" s="2"/>
      <c r="HK20" s="2"/>
      <c r="HL20" s="2"/>
      <c r="HM20" s="2"/>
      <c r="HN20" s="2"/>
      <c r="HO20" s="2"/>
      <c r="HP20" s="2"/>
      <c r="HQ20" s="2"/>
      <c r="HR20" s="2"/>
      <c r="HS20" s="2"/>
      <c r="HT20" s="2"/>
      <c r="HU20" s="2"/>
      <c r="HV20" s="2"/>
      <c r="HW20" s="2"/>
      <c r="HX20" s="2"/>
      <c r="HY20" s="2"/>
      <c r="HZ20" s="2"/>
      <c r="IA20" s="2"/>
      <c r="IB20" s="2"/>
      <c r="IC20" s="2"/>
      <c r="ID20" s="2"/>
      <c r="IE20" s="2"/>
      <c r="IF20" s="2"/>
      <c r="IG20" s="2"/>
      <c r="IH20" s="2"/>
      <c r="II20" s="2"/>
      <c r="IJ20" s="2"/>
      <c r="IK20" s="2"/>
      <c r="IL20" s="2"/>
      <c r="IM20" s="2"/>
      <c r="IN20" s="2"/>
      <c r="IO20" s="2"/>
      <c r="IP20" s="2"/>
      <c r="IQ20" s="2"/>
      <c r="IR20" s="2"/>
      <c r="IS20" s="2"/>
      <c r="IT20" s="2"/>
      <c r="IU20" s="2"/>
      <c r="IV20" s="2"/>
    </row>
    <row r="21" spans="1:256" ht="12" customHeight="1">
      <c r="A21" s="48" t="s">
        <v>15</v>
      </c>
      <c r="B21" s="204"/>
      <c r="C21" s="73"/>
      <c r="D21" s="73"/>
      <c r="E21" s="276"/>
      <c r="F21" s="73"/>
      <c r="G21" s="73"/>
      <c r="H21" s="276"/>
      <c r="I21" s="73"/>
      <c r="J21" s="73"/>
      <c r="K21" s="284"/>
      <c r="L21" s="8"/>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c r="CY21" s="2"/>
      <c r="CZ21" s="2"/>
      <c r="DA21" s="2"/>
      <c r="DB21" s="2"/>
      <c r="DC21" s="2"/>
      <c r="DD21" s="2"/>
      <c r="DE21" s="2"/>
      <c r="DF21" s="2"/>
      <c r="DG21" s="2"/>
      <c r="DH21" s="2"/>
      <c r="DI21" s="2"/>
      <c r="DJ21" s="2"/>
      <c r="DK21" s="2"/>
      <c r="DL21" s="2"/>
      <c r="DM21" s="2"/>
      <c r="DN21" s="2"/>
      <c r="DO21" s="2"/>
      <c r="DP21" s="2"/>
      <c r="DQ21" s="2"/>
      <c r="DR21" s="2"/>
      <c r="DS21" s="2"/>
      <c r="DT21" s="2"/>
      <c r="DU21" s="2"/>
      <c r="DV21" s="2"/>
      <c r="DW21" s="2"/>
      <c r="DX21" s="2"/>
      <c r="DY21" s="2"/>
      <c r="DZ21" s="2"/>
      <c r="EA21" s="2"/>
      <c r="EB21" s="2"/>
      <c r="EC21" s="2"/>
      <c r="ED21" s="2"/>
      <c r="EE21" s="2"/>
      <c r="EF21" s="2"/>
      <c r="EG21" s="2"/>
      <c r="EH21" s="2"/>
      <c r="EI21" s="2"/>
      <c r="EJ21" s="2"/>
      <c r="EK21" s="2"/>
      <c r="EL21" s="2"/>
      <c r="EM21" s="2"/>
      <c r="EN21" s="2"/>
      <c r="EO21" s="2"/>
      <c r="EP21" s="2"/>
      <c r="EQ21" s="2"/>
      <c r="ER21" s="2"/>
      <c r="ES21" s="2"/>
      <c r="ET21" s="2"/>
      <c r="EU21" s="2"/>
      <c r="EV21" s="2"/>
      <c r="EW21" s="2"/>
      <c r="EX21" s="2"/>
      <c r="EY21" s="2"/>
      <c r="EZ21" s="2"/>
      <c r="FA21" s="2"/>
      <c r="FB21" s="2"/>
      <c r="FC21" s="2"/>
      <c r="FD21" s="2"/>
      <c r="FE21" s="2"/>
      <c r="FF21" s="2"/>
      <c r="FG21" s="2"/>
      <c r="FH21" s="2"/>
      <c r="FI21" s="2"/>
      <c r="FJ21" s="2"/>
      <c r="FK21" s="2"/>
      <c r="FL21" s="2"/>
      <c r="FM21" s="2"/>
      <c r="FN21" s="2"/>
      <c r="FO21" s="2"/>
      <c r="FP21" s="2"/>
      <c r="FQ21" s="2"/>
      <c r="FR21" s="2"/>
      <c r="FS21" s="2"/>
      <c r="FT21" s="2"/>
      <c r="FU21" s="2"/>
      <c r="FV21" s="2"/>
      <c r="FW21" s="2"/>
      <c r="FX21" s="2"/>
      <c r="FY21" s="2"/>
      <c r="FZ21" s="2"/>
      <c r="GA21" s="2"/>
      <c r="GB21" s="2"/>
      <c r="GC21" s="2"/>
      <c r="GD21" s="2"/>
      <c r="GE21" s="2"/>
      <c r="GF21" s="2"/>
      <c r="GG21" s="2"/>
      <c r="GH21" s="2"/>
      <c r="GI21" s="2"/>
      <c r="GJ21" s="2"/>
      <c r="GK21" s="2"/>
      <c r="GL21" s="2"/>
      <c r="GM21" s="2"/>
      <c r="GN21" s="2"/>
      <c r="GO21" s="2"/>
      <c r="GP21" s="2"/>
      <c r="GQ21" s="2"/>
      <c r="GR21" s="2"/>
      <c r="GS21" s="2"/>
      <c r="GT21" s="2"/>
      <c r="GU21" s="2"/>
      <c r="GV21" s="2"/>
      <c r="GW21" s="2"/>
      <c r="GX21" s="2"/>
      <c r="GY21" s="2"/>
      <c r="GZ21" s="2"/>
      <c r="HA21" s="2"/>
      <c r="HB21" s="2"/>
      <c r="HC21" s="2"/>
      <c r="HD21" s="2"/>
      <c r="HE21" s="2"/>
      <c r="HF21" s="2"/>
      <c r="HG21" s="2"/>
      <c r="HH21" s="2"/>
      <c r="HI21" s="2"/>
      <c r="HJ21" s="2"/>
      <c r="HK21" s="2"/>
      <c r="HL21" s="2"/>
      <c r="HM21" s="2"/>
      <c r="HN21" s="2"/>
      <c r="HO21" s="2"/>
      <c r="HP21" s="2"/>
      <c r="HQ21" s="2"/>
      <c r="HR21" s="2"/>
      <c r="HS21" s="2"/>
      <c r="HT21" s="2"/>
      <c r="HU21" s="2"/>
      <c r="HV21" s="2"/>
      <c r="HW21" s="2"/>
      <c r="HX21" s="2"/>
      <c r="HY21" s="2"/>
      <c r="HZ21" s="2"/>
      <c r="IA21" s="2"/>
      <c r="IB21" s="2"/>
      <c r="IC21" s="2"/>
      <c r="ID21" s="2"/>
      <c r="IE21" s="2"/>
      <c r="IF21" s="2"/>
      <c r="IG21" s="2"/>
      <c r="IH21" s="2"/>
      <c r="II21" s="2"/>
      <c r="IJ21" s="2"/>
      <c r="IK21" s="2"/>
      <c r="IL21" s="2"/>
      <c r="IM21" s="2"/>
      <c r="IN21" s="2"/>
      <c r="IO21" s="2"/>
      <c r="IP21" s="2"/>
      <c r="IQ21" s="2"/>
      <c r="IR21" s="2"/>
      <c r="IS21" s="2"/>
      <c r="IT21" s="2"/>
      <c r="IU21" s="2"/>
      <c r="IV21" s="2"/>
    </row>
    <row r="22" spans="1:256" ht="12" customHeight="1">
      <c r="A22" s="49"/>
      <c r="B22" s="204"/>
      <c r="C22" s="73"/>
      <c r="D22" s="73"/>
      <c r="E22" s="276"/>
      <c r="F22" s="73"/>
      <c r="G22" s="73"/>
      <c r="H22" s="276"/>
      <c r="I22" s="73"/>
      <c r="J22" s="73"/>
      <c r="K22" s="284"/>
      <c r="L22" s="8"/>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c r="CY22" s="2"/>
      <c r="CZ22" s="2"/>
      <c r="DA22" s="2"/>
      <c r="DB22" s="2"/>
      <c r="DC22" s="2"/>
      <c r="DD22" s="2"/>
      <c r="DE22" s="2"/>
      <c r="DF22" s="2"/>
      <c r="DG22" s="2"/>
      <c r="DH22" s="2"/>
      <c r="DI22" s="2"/>
      <c r="DJ22" s="2"/>
      <c r="DK22" s="2"/>
      <c r="DL22" s="2"/>
      <c r="DM22" s="2"/>
      <c r="DN22" s="2"/>
      <c r="DO22" s="2"/>
      <c r="DP22" s="2"/>
      <c r="DQ22" s="2"/>
      <c r="DR22" s="2"/>
      <c r="DS22" s="2"/>
      <c r="DT22" s="2"/>
      <c r="DU22" s="2"/>
      <c r="DV22" s="2"/>
      <c r="DW22" s="2"/>
      <c r="DX22" s="2"/>
      <c r="DY22" s="2"/>
      <c r="DZ22" s="2"/>
      <c r="EA22" s="2"/>
      <c r="EB22" s="2"/>
      <c r="EC22" s="2"/>
      <c r="ED22" s="2"/>
      <c r="EE22" s="2"/>
      <c r="EF22" s="2"/>
      <c r="EG22" s="2"/>
      <c r="EH22" s="2"/>
      <c r="EI22" s="2"/>
      <c r="EJ22" s="2"/>
      <c r="EK22" s="2"/>
      <c r="EL22" s="2"/>
      <c r="EM22" s="2"/>
      <c r="EN22" s="2"/>
      <c r="EO22" s="2"/>
      <c r="EP22" s="2"/>
      <c r="EQ22" s="2"/>
      <c r="ER22" s="2"/>
      <c r="ES22" s="2"/>
      <c r="ET22" s="2"/>
      <c r="EU22" s="2"/>
      <c r="EV22" s="2"/>
      <c r="EW22" s="2"/>
      <c r="EX22" s="2"/>
      <c r="EY22" s="2"/>
      <c r="EZ22" s="2"/>
      <c r="FA22" s="2"/>
      <c r="FB22" s="2"/>
      <c r="FC22" s="2"/>
      <c r="FD22" s="2"/>
      <c r="FE22" s="2"/>
      <c r="FF22" s="2"/>
      <c r="FG22" s="2"/>
      <c r="FH22" s="2"/>
      <c r="FI22" s="2"/>
      <c r="FJ22" s="2"/>
      <c r="FK22" s="2"/>
      <c r="FL22" s="2"/>
      <c r="FM22" s="2"/>
      <c r="FN22" s="2"/>
      <c r="FO22" s="2"/>
      <c r="FP22" s="2"/>
      <c r="FQ22" s="2"/>
      <c r="FR22" s="2"/>
      <c r="FS22" s="2"/>
      <c r="FT22" s="2"/>
      <c r="FU22" s="2"/>
      <c r="FV22" s="2"/>
      <c r="FW22" s="2"/>
      <c r="FX22" s="2"/>
      <c r="FY22" s="2"/>
      <c r="FZ22" s="2"/>
      <c r="GA22" s="2"/>
      <c r="GB22" s="2"/>
      <c r="GC22" s="2"/>
      <c r="GD22" s="2"/>
      <c r="GE22" s="2"/>
      <c r="GF22" s="2"/>
      <c r="GG22" s="2"/>
      <c r="GH22" s="2"/>
      <c r="GI22" s="2"/>
      <c r="GJ22" s="2"/>
      <c r="GK22" s="2"/>
      <c r="GL22" s="2"/>
      <c r="GM22" s="2"/>
      <c r="GN22" s="2"/>
      <c r="GO22" s="2"/>
      <c r="GP22" s="2"/>
      <c r="GQ22" s="2"/>
      <c r="GR22" s="2"/>
      <c r="GS22" s="2"/>
      <c r="GT22" s="2"/>
      <c r="GU22" s="2"/>
      <c r="GV22" s="2"/>
      <c r="GW22" s="2"/>
      <c r="GX22" s="2"/>
      <c r="GY22" s="2"/>
      <c r="GZ22" s="2"/>
      <c r="HA22" s="2"/>
      <c r="HB22" s="2"/>
      <c r="HC22" s="2"/>
      <c r="HD22" s="2"/>
      <c r="HE22" s="2"/>
      <c r="HF22" s="2"/>
      <c r="HG22" s="2"/>
      <c r="HH22" s="2"/>
      <c r="HI22" s="2"/>
      <c r="HJ22" s="2"/>
      <c r="HK22" s="2"/>
      <c r="HL22" s="2"/>
      <c r="HM22" s="2"/>
      <c r="HN22" s="2"/>
      <c r="HO22" s="2"/>
      <c r="HP22" s="2"/>
      <c r="HQ22" s="2"/>
      <c r="HR22" s="2"/>
      <c r="HS22" s="2"/>
      <c r="HT22" s="2"/>
      <c r="HU22" s="2"/>
      <c r="HV22" s="2"/>
      <c r="HW22" s="2"/>
      <c r="HX22" s="2"/>
      <c r="HY22" s="2"/>
      <c r="HZ22" s="2"/>
      <c r="IA22" s="2"/>
      <c r="IB22" s="2"/>
      <c r="IC22" s="2"/>
      <c r="ID22" s="2"/>
      <c r="IE22" s="2"/>
      <c r="IF22" s="2"/>
      <c r="IG22" s="2"/>
      <c r="IH22" s="2"/>
      <c r="II22" s="2"/>
      <c r="IJ22" s="2"/>
      <c r="IK22" s="2"/>
      <c r="IL22" s="2"/>
      <c r="IM22" s="2"/>
      <c r="IN22" s="2"/>
      <c r="IO22" s="2"/>
      <c r="IP22" s="2"/>
      <c r="IQ22" s="2"/>
      <c r="IR22" s="2"/>
      <c r="IS22" s="2"/>
      <c r="IT22" s="2"/>
      <c r="IU22" s="2"/>
      <c r="IV22" s="2"/>
    </row>
    <row r="23" spans="1:256" ht="11.85" customHeight="1">
      <c r="A23" s="18" t="s">
        <v>108</v>
      </c>
      <c r="B23" s="22"/>
      <c r="C23" s="40">
        <v>30</v>
      </c>
      <c r="D23" s="40">
        <v>18</v>
      </c>
      <c r="E23" s="272">
        <f t="shared" ref="E23:E60" si="5">IF(C23=D23,"-",IF((C23=0),"##",IF(ABS((D23/C23-1)*100)&gt;=500,"##",(D23/C23-1)*100)))</f>
        <v>-40</v>
      </c>
      <c r="F23" s="20">
        <v>13</v>
      </c>
      <c r="G23" s="21">
        <v>165</v>
      </c>
      <c r="H23" s="272" t="str">
        <f t="shared" ref="H23:H60" si="6">IF(F23=G23,"-",IF((F23=0),"##",IF(ABS((G23/F23-1)*100)&gt;=500,"##",(G23/F23-1)*100)))</f>
        <v>##</v>
      </c>
      <c r="I23" s="20">
        <f t="shared" ref="I23:I60" si="7">C23+F23</f>
        <v>43</v>
      </c>
      <c r="J23" s="20">
        <f t="shared" ref="I23:J60" si="8">D23+G23</f>
        <v>183</v>
      </c>
      <c r="K23" s="285">
        <f t="shared" ref="K23:K60" si="9">IF(I23=J23,"-",IF((I23=0),"##",IF(ABS((J23/I23-1)*100)&gt;=500,"##",(J23/I23-1)*100)))</f>
        <v>325.58139534883719</v>
      </c>
      <c r="L23" s="8"/>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c r="CY23" s="2"/>
      <c r="CZ23" s="2"/>
      <c r="DA23" s="2"/>
      <c r="DB23" s="2"/>
      <c r="DC23" s="2"/>
      <c r="DD23" s="2"/>
      <c r="DE23" s="2"/>
      <c r="DF23" s="2"/>
      <c r="DG23" s="2"/>
      <c r="DH23" s="2"/>
      <c r="DI23" s="2"/>
      <c r="DJ23" s="2"/>
      <c r="DK23" s="2"/>
      <c r="DL23" s="2"/>
      <c r="DM23" s="2"/>
      <c r="DN23" s="2"/>
      <c r="DO23" s="2"/>
      <c r="DP23" s="2"/>
      <c r="DQ23" s="2"/>
      <c r="DR23" s="2"/>
      <c r="DS23" s="2"/>
      <c r="DT23" s="2"/>
      <c r="DU23" s="2"/>
      <c r="DV23" s="2"/>
      <c r="DW23" s="2"/>
      <c r="DX23" s="2"/>
      <c r="DY23" s="2"/>
      <c r="DZ23" s="2"/>
      <c r="EA23" s="2"/>
      <c r="EB23" s="2"/>
      <c r="EC23" s="2"/>
      <c r="ED23" s="2"/>
      <c r="EE23" s="2"/>
      <c r="EF23" s="2"/>
      <c r="EG23" s="2"/>
      <c r="EH23" s="2"/>
      <c r="EI23" s="2"/>
      <c r="EJ23" s="2"/>
      <c r="EK23" s="2"/>
      <c r="EL23" s="2"/>
      <c r="EM23" s="2"/>
      <c r="EN23" s="2"/>
      <c r="EO23" s="2"/>
      <c r="EP23" s="2"/>
      <c r="EQ23" s="2"/>
      <c r="ER23" s="2"/>
      <c r="ES23" s="2"/>
      <c r="ET23" s="2"/>
      <c r="EU23" s="2"/>
      <c r="EV23" s="2"/>
      <c r="EW23" s="2"/>
      <c r="EX23" s="2"/>
      <c r="EY23" s="2"/>
      <c r="EZ23" s="2"/>
      <c r="FA23" s="2"/>
      <c r="FB23" s="2"/>
      <c r="FC23" s="2"/>
      <c r="FD23" s="2"/>
      <c r="FE23" s="2"/>
      <c r="FF23" s="2"/>
      <c r="FG23" s="2"/>
      <c r="FH23" s="2"/>
      <c r="FI23" s="2"/>
      <c r="FJ23" s="2"/>
      <c r="FK23" s="2"/>
      <c r="FL23" s="2"/>
      <c r="FM23" s="2"/>
      <c r="FN23" s="2"/>
      <c r="FO23" s="2"/>
      <c r="FP23" s="2"/>
      <c r="FQ23" s="2"/>
      <c r="FR23" s="2"/>
      <c r="FS23" s="2"/>
      <c r="FT23" s="2"/>
      <c r="FU23" s="2"/>
      <c r="FV23" s="2"/>
      <c r="FW23" s="2"/>
      <c r="FX23" s="2"/>
      <c r="FY23" s="2"/>
      <c r="FZ23" s="2"/>
      <c r="GA23" s="2"/>
      <c r="GB23" s="2"/>
      <c r="GC23" s="2"/>
      <c r="GD23" s="2"/>
      <c r="GE23" s="2"/>
      <c r="GF23" s="2"/>
      <c r="GG23" s="2"/>
      <c r="GH23" s="2"/>
      <c r="GI23" s="2"/>
      <c r="GJ23" s="2"/>
      <c r="GK23" s="2"/>
      <c r="GL23" s="2"/>
      <c r="GM23" s="2"/>
      <c r="GN23" s="2"/>
      <c r="GO23" s="2"/>
      <c r="GP23" s="2"/>
      <c r="GQ23" s="2"/>
      <c r="GR23" s="2"/>
      <c r="GS23" s="2"/>
      <c r="GT23" s="2"/>
      <c r="GU23" s="2"/>
      <c r="GV23" s="2"/>
      <c r="GW23" s="2"/>
      <c r="GX23" s="2"/>
      <c r="GY23" s="2"/>
      <c r="GZ23" s="2"/>
      <c r="HA23" s="2"/>
      <c r="HB23" s="2"/>
      <c r="HC23" s="2"/>
      <c r="HD23" s="2"/>
      <c r="HE23" s="2"/>
      <c r="HF23" s="2"/>
      <c r="HG23" s="2"/>
      <c r="HH23" s="2"/>
      <c r="HI23" s="2"/>
      <c r="HJ23" s="2"/>
      <c r="HK23" s="2"/>
      <c r="HL23" s="2"/>
      <c r="HM23" s="2"/>
      <c r="HN23" s="2"/>
      <c r="HO23" s="2"/>
      <c r="HP23" s="2"/>
      <c r="HQ23" s="2"/>
      <c r="HR23" s="2"/>
      <c r="HS23" s="2"/>
      <c r="HT23" s="2"/>
      <c r="HU23" s="2"/>
      <c r="HV23" s="2"/>
      <c r="HW23" s="2"/>
      <c r="HX23" s="2"/>
      <c r="HY23" s="2"/>
      <c r="HZ23" s="2"/>
      <c r="IA23" s="2"/>
      <c r="IB23" s="2"/>
      <c r="IC23" s="2"/>
      <c r="ID23" s="2"/>
      <c r="IE23" s="2"/>
      <c r="IF23" s="2"/>
      <c r="IG23" s="2"/>
      <c r="IH23" s="2"/>
      <c r="II23" s="2"/>
      <c r="IJ23" s="2"/>
      <c r="IK23" s="2"/>
      <c r="IL23" s="2"/>
      <c r="IM23" s="2"/>
      <c r="IN23" s="2"/>
      <c r="IO23" s="2"/>
      <c r="IP23" s="2"/>
      <c r="IQ23" s="2"/>
      <c r="IR23" s="2"/>
      <c r="IS23" s="2"/>
      <c r="IT23" s="2"/>
      <c r="IU23" s="2"/>
      <c r="IV23" s="2"/>
    </row>
    <row r="24" spans="1:256" ht="11.85" customHeight="1">
      <c r="A24" s="24" t="s">
        <v>16</v>
      </c>
      <c r="B24" s="28"/>
      <c r="C24" s="41">
        <v>34</v>
      </c>
      <c r="D24" s="41">
        <v>90</v>
      </c>
      <c r="E24" s="277">
        <f t="shared" si="5"/>
        <v>164.70588235294116</v>
      </c>
      <c r="F24" s="26">
        <v>6</v>
      </c>
      <c r="G24" s="27">
        <v>62</v>
      </c>
      <c r="H24" s="277" t="str">
        <f t="shared" si="6"/>
        <v>##</v>
      </c>
      <c r="I24" s="26">
        <f t="shared" si="7"/>
        <v>40</v>
      </c>
      <c r="J24" s="26">
        <f t="shared" si="8"/>
        <v>152</v>
      </c>
      <c r="K24" s="281">
        <f t="shared" si="9"/>
        <v>280</v>
      </c>
      <c r="L24" s="8"/>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c r="CY24" s="2"/>
      <c r="CZ24" s="2"/>
      <c r="DA24" s="2"/>
      <c r="DB24" s="2"/>
      <c r="DC24" s="2"/>
      <c r="DD24" s="2"/>
      <c r="DE24" s="2"/>
      <c r="DF24" s="2"/>
      <c r="DG24" s="2"/>
      <c r="DH24" s="2"/>
      <c r="DI24" s="2"/>
      <c r="DJ24" s="2"/>
      <c r="DK24" s="2"/>
      <c r="DL24" s="2"/>
      <c r="DM24" s="2"/>
      <c r="DN24" s="2"/>
      <c r="DO24" s="2"/>
      <c r="DP24" s="2"/>
      <c r="DQ24" s="2"/>
      <c r="DR24" s="2"/>
      <c r="DS24" s="2"/>
      <c r="DT24" s="2"/>
      <c r="DU24" s="2"/>
      <c r="DV24" s="2"/>
      <c r="DW24" s="2"/>
      <c r="DX24" s="2"/>
      <c r="DY24" s="2"/>
      <c r="DZ24" s="2"/>
      <c r="EA24" s="2"/>
      <c r="EB24" s="2"/>
      <c r="EC24" s="2"/>
      <c r="ED24" s="2"/>
      <c r="EE24" s="2"/>
      <c r="EF24" s="2"/>
      <c r="EG24" s="2"/>
      <c r="EH24" s="2"/>
      <c r="EI24" s="2"/>
      <c r="EJ24" s="2"/>
      <c r="EK24" s="2"/>
      <c r="EL24" s="2"/>
      <c r="EM24" s="2"/>
      <c r="EN24" s="2"/>
      <c r="EO24" s="2"/>
      <c r="EP24" s="2"/>
      <c r="EQ24" s="2"/>
      <c r="ER24" s="2"/>
      <c r="ES24" s="2"/>
      <c r="ET24" s="2"/>
      <c r="EU24" s="2"/>
      <c r="EV24" s="2"/>
      <c r="EW24" s="2"/>
      <c r="EX24" s="2"/>
      <c r="EY24" s="2"/>
      <c r="EZ24" s="2"/>
      <c r="FA24" s="2"/>
      <c r="FB24" s="2"/>
      <c r="FC24" s="2"/>
      <c r="FD24" s="2"/>
      <c r="FE24" s="2"/>
      <c r="FF24" s="2"/>
      <c r="FG24" s="2"/>
      <c r="FH24" s="2"/>
      <c r="FI24" s="2"/>
      <c r="FJ24" s="2"/>
      <c r="FK24" s="2"/>
      <c r="FL24" s="2"/>
      <c r="FM24" s="2"/>
      <c r="FN24" s="2"/>
      <c r="FO24" s="2"/>
      <c r="FP24" s="2"/>
      <c r="FQ24" s="2"/>
      <c r="FR24" s="2"/>
      <c r="FS24" s="2"/>
      <c r="FT24" s="2"/>
      <c r="FU24" s="2"/>
      <c r="FV24" s="2"/>
      <c r="FW24" s="2"/>
      <c r="FX24" s="2"/>
      <c r="FY24" s="2"/>
      <c r="FZ24" s="2"/>
      <c r="GA24" s="2"/>
      <c r="GB24" s="2"/>
      <c r="GC24" s="2"/>
      <c r="GD24" s="2"/>
      <c r="GE24" s="2"/>
      <c r="GF24" s="2"/>
      <c r="GG24" s="2"/>
      <c r="GH24" s="2"/>
      <c r="GI24" s="2"/>
      <c r="GJ24" s="2"/>
      <c r="GK24" s="2"/>
      <c r="GL24" s="2"/>
      <c r="GM24" s="2"/>
      <c r="GN24" s="2"/>
      <c r="GO24" s="2"/>
      <c r="GP24" s="2"/>
      <c r="GQ24" s="2"/>
      <c r="GR24" s="2"/>
      <c r="GS24" s="2"/>
      <c r="GT24" s="2"/>
      <c r="GU24" s="2"/>
      <c r="GV24" s="2"/>
      <c r="GW24" s="2"/>
      <c r="GX24" s="2"/>
      <c r="GY24" s="2"/>
      <c r="GZ24" s="2"/>
      <c r="HA24" s="2"/>
      <c r="HB24" s="2"/>
      <c r="HC24" s="2"/>
      <c r="HD24" s="2"/>
      <c r="HE24" s="2"/>
      <c r="HF24" s="2"/>
      <c r="HG24" s="2"/>
      <c r="HH24" s="2"/>
      <c r="HI24" s="2"/>
      <c r="HJ24" s="2"/>
      <c r="HK24" s="2"/>
      <c r="HL24" s="2"/>
      <c r="HM24" s="2"/>
      <c r="HN24" s="2"/>
      <c r="HO24" s="2"/>
      <c r="HP24" s="2"/>
      <c r="HQ24" s="2"/>
      <c r="HR24" s="2"/>
      <c r="HS24" s="2"/>
      <c r="HT24" s="2"/>
      <c r="HU24" s="2"/>
      <c r="HV24" s="2"/>
      <c r="HW24" s="2"/>
      <c r="HX24" s="2"/>
      <c r="HY24" s="2"/>
      <c r="HZ24" s="2"/>
      <c r="IA24" s="2"/>
      <c r="IB24" s="2"/>
      <c r="IC24" s="2"/>
      <c r="ID24" s="2"/>
      <c r="IE24" s="2"/>
      <c r="IF24" s="2"/>
      <c r="IG24" s="2"/>
      <c r="IH24" s="2"/>
      <c r="II24" s="2"/>
      <c r="IJ24" s="2"/>
      <c r="IK24" s="2"/>
      <c r="IL24" s="2"/>
      <c r="IM24" s="2"/>
      <c r="IN24" s="2"/>
      <c r="IO24" s="2"/>
      <c r="IP24" s="2"/>
      <c r="IQ24" s="2"/>
      <c r="IR24" s="2"/>
      <c r="IS24" s="2"/>
      <c r="IT24" s="2"/>
      <c r="IU24" s="2"/>
      <c r="IV24" s="2"/>
    </row>
    <row r="25" spans="1:256" ht="11.85" customHeight="1">
      <c r="A25" s="24" t="s">
        <v>119</v>
      </c>
      <c r="B25" s="28"/>
      <c r="C25" s="41">
        <v>37</v>
      </c>
      <c r="D25" s="41">
        <v>25</v>
      </c>
      <c r="E25" s="277">
        <f t="shared" si="5"/>
        <v>-32.432432432432435</v>
      </c>
      <c r="F25" s="41">
        <v>14</v>
      </c>
      <c r="G25" s="27">
        <v>8</v>
      </c>
      <c r="H25" s="277">
        <f t="shared" si="6"/>
        <v>-42.857142857142861</v>
      </c>
      <c r="I25" s="41">
        <f t="shared" si="8"/>
        <v>51</v>
      </c>
      <c r="J25" s="26">
        <f t="shared" si="8"/>
        <v>33</v>
      </c>
      <c r="K25" s="277">
        <f t="shared" si="9"/>
        <v>-35.294117647058819</v>
      </c>
      <c r="L25" s="8"/>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c r="CY25" s="2"/>
      <c r="CZ25" s="2"/>
      <c r="DA25" s="2"/>
      <c r="DB25" s="2"/>
      <c r="DC25" s="2"/>
      <c r="DD25" s="2"/>
      <c r="DE25" s="2"/>
      <c r="DF25" s="2"/>
      <c r="DG25" s="2"/>
      <c r="DH25" s="2"/>
      <c r="DI25" s="2"/>
      <c r="DJ25" s="2"/>
      <c r="DK25" s="2"/>
      <c r="DL25" s="2"/>
      <c r="DM25" s="2"/>
      <c r="DN25" s="2"/>
      <c r="DO25" s="2"/>
      <c r="DP25" s="2"/>
      <c r="DQ25" s="2"/>
      <c r="DR25" s="2"/>
      <c r="DS25" s="2"/>
      <c r="DT25" s="2"/>
      <c r="DU25" s="2"/>
      <c r="DV25" s="2"/>
      <c r="DW25" s="2"/>
      <c r="DX25" s="2"/>
      <c r="DY25" s="2"/>
      <c r="DZ25" s="2"/>
      <c r="EA25" s="2"/>
      <c r="EB25" s="2"/>
      <c r="EC25" s="2"/>
      <c r="ED25" s="2"/>
      <c r="EE25" s="2"/>
      <c r="EF25" s="2"/>
      <c r="EG25" s="2"/>
      <c r="EH25" s="2"/>
      <c r="EI25" s="2"/>
      <c r="EJ25" s="2"/>
      <c r="EK25" s="2"/>
      <c r="EL25" s="2"/>
      <c r="EM25" s="2"/>
      <c r="EN25" s="2"/>
      <c r="EO25" s="2"/>
      <c r="EP25" s="2"/>
      <c r="EQ25" s="2"/>
      <c r="ER25" s="2"/>
      <c r="ES25" s="2"/>
      <c r="ET25" s="2"/>
      <c r="EU25" s="2"/>
      <c r="EV25" s="2"/>
      <c r="EW25" s="2"/>
      <c r="EX25" s="2"/>
      <c r="EY25" s="2"/>
      <c r="EZ25" s="2"/>
      <c r="FA25" s="2"/>
      <c r="FB25" s="2"/>
      <c r="FC25" s="2"/>
      <c r="FD25" s="2"/>
      <c r="FE25" s="2"/>
      <c r="FF25" s="2"/>
      <c r="FG25" s="2"/>
      <c r="FH25" s="2"/>
      <c r="FI25" s="2"/>
      <c r="FJ25" s="2"/>
      <c r="FK25" s="2"/>
      <c r="FL25" s="2"/>
      <c r="FM25" s="2"/>
      <c r="FN25" s="2"/>
      <c r="FO25" s="2"/>
      <c r="FP25" s="2"/>
      <c r="FQ25" s="2"/>
      <c r="FR25" s="2"/>
      <c r="FS25" s="2"/>
      <c r="FT25" s="2"/>
      <c r="FU25" s="2"/>
      <c r="FV25" s="2"/>
      <c r="FW25" s="2"/>
      <c r="FX25" s="2"/>
      <c r="FY25" s="2"/>
      <c r="FZ25" s="2"/>
      <c r="GA25" s="2"/>
      <c r="GB25" s="2"/>
      <c r="GC25" s="2"/>
      <c r="GD25" s="2"/>
      <c r="GE25" s="2"/>
      <c r="GF25" s="2"/>
      <c r="GG25" s="2"/>
      <c r="GH25" s="2"/>
      <c r="GI25" s="2"/>
      <c r="GJ25" s="2"/>
      <c r="GK25" s="2"/>
      <c r="GL25" s="2"/>
      <c r="GM25" s="2"/>
      <c r="GN25" s="2"/>
      <c r="GO25" s="2"/>
      <c r="GP25" s="2"/>
      <c r="GQ25" s="2"/>
      <c r="GR25" s="2"/>
      <c r="GS25" s="2"/>
      <c r="GT25" s="2"/>
      <c r="GU25" s="2"/>
      <c r="GV25" s="2"/>
      <c r="GW25" s="2"/>
      <c r="GX25" s="2"/>
      <c r="GY25" s="2"/>
      <c r="GZ25" s="2"/>
      <c r="HA25" s="2"/>
      <c r="HB25" s="2"/>
      <c r="HC25" s="2"/>
      <c r="HD25" s="2"/>
      <c r="HE25" s="2"/>
      <c r="HF25" s="2"/>
      <c r="HG25" s="2"/>
      <c r="HH25" s="2"/>
      <c r="HI25" s="2"/>
      <c r="HJ25" s="2"/>
      <c r="HK25" s="2"/>
      <c r="HL25" s="2"/>
      <c r="HM25" s="2"/>
      <c r="HN25" s="2"/>
      <c r="HO25" s="2"/>
      <c r="HP25" s="2"/>
      <c r="HQ25" s="2"/>
      <c r="HR25" s="2"/>
      <c r="HS25" s="2"/>
      <c r="HT25" s="2"/>
      <c r="HU25" s="2"/>
      <c r="HV25" s="2"/>
      <c r="HW25" s="2"/>
      <c r="HX25" s="2"/>
      <c r="HY25" s="2"/>
      <c r="HZ25" s="2"/>
      <c r="IA25" s="2"/>
      <c r="IB25" s="2"/>
      <c r="IC25" s="2"/>
      <c r="ID25" s="2"/>
      <c r="IE25" s="2"/>
      <c r="IF25" s="2"/>
      <c r="IG25" s="2"/>
      <c r="IH25" s="2"/>
      <c r="II25" s="2"/>
      <c r="IJ25" s="2"/>
      <c r="IK25" s="2"/>
      <c r="IL25" s="2"/>
      <c r="IM25" s="2"/>
      <c r="IN25" s="2"/>
      <c r="IO25" s="2"/>
      <c r="IP25" s="2"/>
      <c r="IQ25" s="2"/>
      <c r="IR25" s="2"/>
      <c r="IS25" s="2"/>
      <c r="IT25" s="2"/>
      <c r="IU25" s="2"/>
      <c r="IV25" s="2"/>
    </row>
    <row r="26" spans="1:256" ht="11.85" customHeight="1">
      <c r="A26" s="24" t="s">
        <v>17</v>
      </c>
      <c r="B26" s="28"/>
      <c r="C26" s="41">
        <v>31</v>
      </c>
      <c r="D26" s="41">
        <v>153</v>
      </c>
      <c r="E26" s="277">
        <f t="shared" si="5"/>
        <v>393.54838709677421</v>
      </c>
      <c r="F26" s="26">
        <v>81</v>
      </c>
      <c r="G26" s="27">
        <v>2</v>
      </c>
      <c r="H26" s="277">
        <f t="shared" si="6"/>
        <v>-97.53086419753086</v>
      </c>
      <c r="I26" s="26">
        <f t="shared" si="7"/>
        <v>112</v>
      </c>
      <c r="J26" s="26">
        <f t="shared" si="8"/>
        <v>155</v>
      </c>
      <c r="K26" s="281">
        <f t="shared" si="9"/>
        <v>38.392857142857139</v>
      </c>
      <c r="L26" s="8"/>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c r="CY26" s="2"/>
      <c r="CZ26" s="2"/>
      <c r="DA26" s="2"/>
      <c r="DB26" s="2"/>
      <c r="DC26" s="2"/>
      <c r="DD26" s="2"/>
      <c r="DE26" s="2"/>
      <c r="DF26" s="2"/>
      <c r="DG26" s="2"/>
      <c r="DH26" s="2"/>
      <c r="DI26" s="2"/>
      <c r="DJ26" s="2"/>
      <c r="DK26" s="2"/>
      <c r="DL26" s="2"/>
      <c r="DM26" s="2"/>
      <c r="DN26" s="2"/>
      <c r="DO26" s="2"/>
      <c r="DP26" s="2"/>
      <c r="DQ26" s="2"/>
      <c r="DR26" s="2"/>
      <c r="DS26" s="2"/>
      <c r="DT26" s="2"/>
      <c r="DU26" s="2"/>
      <c r="DV26" s="2"/>
      <c r="DW26" s="2"/>
      <c r="DX26" s="2"/>
      <c r="DY26" s="2"/>
      <c r="DZ26" s="2"/>
      <c r="EA26" s="2"/>
      <c r="EB26" s="2"/>
      <c r="EC26" s="2"/>
      <c r="ED26" s="2"/>
      <c r="EE26" s="2"/>
      <c r="EF26" s="2"/>
      <c r="EG26" s="2"/>
      <c r="EH26" s="2"/>
      <c r="EI26" s="2"/>
      <c r="EJ26" s="2"/>
      <c r="EK26" s="2"/>
      <c r="EL26" s="2"/>
      <c r="EM26" s="2"/>
      <c r="EN26" s="2"/>
      <c r="EO26" s="2"/>
      <c r="EP26" s="2"/>
      <c r="EQ26" s="2"/>
      <c r="ER26" s="2"/>
      <c r="ES26" s="2"/>
      <c r="ET26" s="2"/>
      <c r="EU26" s="2"/>
      <c r="EV26" s="2"/>
      <c r="EW26" s="2"/>
      <c r="EX26" s="2"/>
      <c r="EY26" s="2"/>
      <c r="EZ26" s="2"/>
      <c r="FA26" s="2"/>
      <c r="FB26" s="2"/>
      <c r="FC26" s="2"/>
      <c r="FD26" s="2"/>
      <c r="FE26" s="2"/>
      <c r="FF26" s="2"/>
      <c r="FG26" s="2"/>
      <c r="FH26" s="2"/>
      <c r="FI26" s="2"/>
      <c r="FJ26" s="2"/>
      <c r="FK26" s="2"/>
      <c r="FL26" s="2"/>
      <c r="FM26" s="2"/>
      <c r="FN26" s="2"/>
      <c r="FO26" s="2"/>
      <c r="FP26" s="2"/>
      <c r="FQ26" s="2"/>
      <c r="FR26" s="2"/>
      <c r="FS26" s="2"/>
      <c r="FT26" s="2"/>
      <c r="FU26" s="2"/>
      <c r="FV26" s="2"/>
      <c r="FW26" s="2"/>
      <c r="FX26" s="2"/>
      <c r="FY26" s="2"/>
      <c r="FZ26" s="2"/>
      <c r="GA26" s="2"/>
      <c r="GB26" s="2"/>
      <c r="GC26" s="2"/>
      <c r="GD26" s="2"/>
      <c r="GE26" s="2"/>
      <c r="GF26" s="2"/>
      <c r="GG26" s="2"/>
      <c r="GH26" s="2"/>
      <c r="GI26" s="2"/>
      <c r="GJ26" s="2"/>
      <c r="GK26" s="2"/>
      <c r="GL26" s="2"/>
      <c r="GM26" s="2"/>
      <c r="GN26" s="2"/>
      <c r="GO26" s="2"/>
      <c r="GP26" s="2"/>
      <c r="GQ26" s="2"/>
      <c r="GR26" s="2"/>
      <c r="GS26" s="2"/>
      <c r="GT26" s="2"/>
      <c r="GU26" s="2"/>
      <c r="GV26" s="2"/>
      <c r="GW26" s="2"/>
      <c r="GX26" s="2"/>
      <c r="GY26" s="2"/>
      <c r="GZ26" s="2"/>
      <c r="HA26" s="2"/>
      <c r="HB26" s="2"/>
      <c r="HC26" s="2"/>
      <c r="HD26" s="2"/>
      <c r="HE26" s="2"/>
      <c r="HF26" s="2"/>
      <c r="HG26" s="2"/>
      <c r="HH26" s="2"/>
      <c r="HI26" s="2"/>
      <c r="HJ26" s="2"/>
      <c r="HK26" s="2"/>
      <c r="HL26" s="2"/>
      <c r="HM26" s="2"/>
      <c r="HN26" s="2"/>
      <c r="HO26" s="2"/>
      <c r="HP26" s="2"/>
      <c r="HQ26" s="2"/>
      <c r="HR26" s="2"/>
      <c r="HS26" s="2"/>
      <c r="HT26" s="2"/>
      <c r="HU26" s="2"/>
      <c r="HV26" s="2"/>
      <c r="HW26" s="2"/>
      <c r="HX26" s="2"/>
      <c r="HY26" s="2"/>
      <c r="HZ26" s="2"/>
      <c r="IA26" s="2"/>
      <c r="IB26" s="2"/>
      <c r="IC26" s="2"/>
      <c r="ID26" s="2"/>
      <c r="IE26" s="2"/>
      <c r="IF26" s="2"/>
      <c r="IG26" s="2"/>
      <c r="IH26" s="2"/>
      <c r="II26" s="2"/>
      <c r="IJ26" s="2"/>
      <c r="IK26" s="2"/>
      <c r="IL26" s="2"/>
      <c r="IM26" s="2"/>
      <c r="IN26" s="2"/>
      <c r="IO26" s="2"/>
      <c r="IP26" s="2"/>
      <c r="IQ26" s="2"/>
      <c r="IR26" s="2"/>
      <c r="IS26" s="2"/>
      <c r="IT26" s="2"/>
      <c r="IU26" s="2"/>
      <c r="IV26" s="2"/>
    </row>
    <row r="27" spans="1:256" ht="11.85" customHeight="1">
      <c r="A27" s="24" t="s">
        <v>18</v>
      </c>
      <c r="B27" s="28"/>
      <c r="C27" s="26">
        <v>402</v>
      </c>
      <c r="D27" s="41">
        <v>473</v>
      </c>
      <c r="E27" s="277">
        <f t="shared" si="5"/>
        <v>17.661691542288558</v>
      </c>
      <c r="F27" s="26">
        <v>438</v>
      </c>
      <c r="G27" s="27">
        <v>682</v>
      </c>
      <c r="H27" s="277">
        <f t="shared" si="6"/>
        <v>55.707762557077636</v>
      </c>
      <c r="I27" s="26">
        <f t="shared" si="7"/>
        <v>840</v>
      </c>
      <c r="J27" s="26">
        <f t="shared" si="8"/>
        <v>1155</v>
      </c>
      <c r="K27" s="281">
        <f t="shared" si="9"/>
        <v>37.5</v>
      </c>
      <c r="L27" s="8"/>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c r="CY27" s="2"/>
      <c r="CZ27" s="2"/>
      <c r="DA27" s="2"/>
      <c r="DB27" s="2"/>
      <c r="DC27" s="2"/>
      <c r="DD27" s="2"/>
      <c r="DE27" s="2"/>
      <c r="DF27" s="2"/>
      <c r="DG27" s="2"/>
      <c r="DH27" s="2"/>
      <c r="DI27" s="2"/>
      <c r="DJ27" s="2"/>
      <c r="DK27" s="2"/>
      <c r="DL27" s="2"/>
      <c r="DM27" s="2"/>
      <c r="DN27" s="2"/>
      <c r="DO27" s="2"/>
      <c r="DP27" s="2"/>
      <c r="DQ27" s="2"/>
      <c r="DR27" s="2"/>
      <c r="DS27" s="2"/>
      <c r="DT27" s="2"/>
      <c r="DU27" s="2"/>
      <c r="DV27" s="2"/>
      <c r="DW27" s="2"/>
      <c r="DX27" s="2"/>
      <c r="DY27" s="2"/>
      <c r="DZ27" s="2"/>
      <c r="EA27" s="2"/>
      <c r="EB27" s="2"/>
      <c r="EC27" s="2"/>
      <c r="ED27" s="2"/>
      <c r="EE27" s="2"/>
      <c r="EF27" s="2"/>
      <c r="EG27" s="2"/>
      <c r="EH27" s="2"/>
      <c r="EI27" s="2"/>
      <c r="EJ27" s="2"/>
      <c r="EK27" s="2"/>
      <c r="EL27" s="2"/>
      <c r="EM27" s="2"/>
      <c r="EN27" s="2"/>
      <c r="EO27" s="2"/>
      <c r="EP27" s="2"/>
      <c r="EQ27" s="2"/>
      <c r="ER27" s="2"/>
      <c r="ES27" s="2"/>
      <c r="ET27" s="2"/>
      <c r="EU27" s="2"/>
      <c r="EV27" s="2"/>
      <c r="EW27" s="2"/>
      <c r="EX27" s="2"/>
      <c r="EY27" s="2"/>
      <c r="EZ27" s="2"/>
      <c r="FA27" s="2"/>
      <c r="FB27" s="2"/>
      <c r="FC27" s="2"/>
      <c r="FD27" s="2"/>
      <c r="FE27" s="2"/>
      <c r="FF27" s="2"/>
      <c r="FG27" s="2"/>
      <c r="FH27" s="2"/>
      <c r="FI27" s="2"/>
      <c r="FJ27" s="2"/>
      <c r="FK27" s="2"/>
      <c r="FL27" s="2"/>
      <c r="FM27" s="2"/>
      <c r="FN27" s="2"/>
      <c r="FO27" s="2"/>
      <c r="FP27" s="2"/>
      <c r="FQ27" s="2"/>
      <c r="FR27" s="2"/>
      <c r="FS27" s="2"/>
      <c r="FT27" s="2"/>
      <c r="FU27" s="2"/>
      <c r="FV27" s="2"/>
      <c r="FW27" s="2"/>
      <c r="FX27" s="2"/>
      <c r="FY27" s="2"/>
      <c r="FZ27" s="2"/>
      <c r="GA27" s="2"/>
      <c r="GB27" s="2"/>
      <c r="GC27" s="2"/>
      <c r="GD27" s="2"/>
      <c r="GE27" s="2"/>
      <c r="GF27" s="2"/>
      <c r="GG27" s="2"/>
      <c r="GH27" s="2"/>
      <c r="GI27" s="2"/>
      <c r="GJ27" s="2"/>
      <c r="GK27" s="2"/>
      <c r="GL27" s="2"/>
      <c r="GM27" s="2"/>
      <c r="GN27" s="2"/>
      <c r="GO27" s="2"/>
      <c r="GP27" s="2"/>
      <c r="GQ27" s="2"/>
      <c r="GR27" s="2"/>
      <c r="GS27" s="2"/>
      <c r="GT27" s="2"/>
      <c r="GU27" s="2"/>
      <c r="GV27" s="2"/>
      <c r="GW27" s="2"/>
      <c r="GX27" s="2"/>
      <c r="GY27" s="2"/>
      <c r="GZ27" s="2"/>
      <c r="HA27" s="2"/>
      <c r="HB27" s="2"/>
      <c r="HC27" s="2"/>
      <c r="HD27" s="2"/>
      <c r="HE27" s="2"/>
      <c r="HF27" s="2"/>
      <c r="HG27" s="2"/>
      <c r="HH27" s="2"/>
      <c r="HI27" s="2"/>
      <c r="HJ27" s="2"/>
      <c r="HK27" s="2"/>
      <c r="HL27" s="2"/>
      <c r="HM27" s="2"/>
      <c r="HN27" s="2"/>
      <c r="HO27" s="2"/>
      <c r="HP27" s="2"/>
      <c r="HQ27" s="2"/>
      <c r="HR27" s="2"/>
      <c r="HS27" s="2"/>
      <c r="HT27" s="2"/>
      <c r="HU27" s="2"/>
      <c r="HV27" s="2"/>
      <c r="HW27" s="2"/>
      <c r="HX27" s="2"/>
      <c r="HY27" s="2"/>
      <c r="HZ27" s="2"/>
      <c r="IA27" s="2"/>
      <c r="IB27" s="2"/>
      <c r="IC27" s="2"/>
      <c r="ID27" s="2"/>
      <c r="IE27" s="2"/>
      <c r="IF27" s="2"/>
      <c r="IG27" s="2"/>
      <c r="IH27" s="2"/>
      <c r="II27" s="2"/>
      <c r="IJ27" s="2"/>
      <c r="IK27" s="2"/>
      <c r="IL27" s="2"/>
      <c r="IM27" s="2"/>
      <c r="IN27" s="2"/>
      <c r="IO27" s="2"/>
      <c r="IP27" s="2"/>
      <c r="IQ27" s="2"/>
      <c r="IR27" s="2"/>
      <c r="IS27" s="2"/>
      <c r="IT27" s="2"/>
      <c r="IU27" s="2"/>
      <c r="IV27" s="2"/>
    </row>
    <row r="28" spans="1:256" ht="11.85" customHeight="1">
      <c r="A28" s="24" t="s">
        <v>19</v>
      </c>
      <c r="B28" s="28"/>
      <c r="C28" s="26">
        <v>377</v>
      </c>
      <c r="D28" s="41">
        <v>445</v>
      </c>
      <c r="E28" s="277">
        <f t="shared" si="5"/>
        <v>18.037135278514583</v>
      </c>
      <c r="F28" s="26">
        <v>1009</v>
      </c>
      <c r="G28" s="27">
        <v>615</v>
      </c>
      <c r="H28" s="277">
        <f t="shared" si="6"/>
        <v>-39.048562933597623</v>
      </c>
      <c r="I28" s="26">
        <f t="shared" si="7"/>
        <v>1386</v>
      </c>
      <c r="J28" s="26">
        <f t="shared" si="8"/>
        <v>1060</v>
      </c>
      <c r="K28" s="281">
        <f t="shared" si="9"/>
        <v>-23.520923520923521</v>
      </c>
      <c r="L28" s="8"/>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c r="CY28" s="2"/>
      <c r="CZ28" s="2"/>
      <c r="DA28" s="2"/>
      <c r="DB28" s="2"/>
      <c r="DC28" s="2"/>
      <c r="DD28" s="2"/>
      <c r="DE28" s="2"/>
      <c r="DF28" s="2"/>
      <c r="DG28" s="2"/>
      <c r="DH28" s="2"/>
      <c r="DI28" s="2"/>
      <c r="DJ28" s="2"/>
      <c r="DK28" s="2"/>
      <c r="DL28" s="2"/>
      <c r="DM28" s="2"/>
      <c r="DN28" s="2"/>
      <c r="DO28" s="2"/>
      <c r="DP28" s="2"/>
      <c r="DQ28" s="2"/>
      <c r="DR28" s="2"/>
      <c r="DS28" s="2"/>
      <c r="DT28" s="2"/>
      <c r="DU28" s="2"/>
      <c r="DV28" s="2"/>
      <c r="DW28" s="2"/>
      <c r="DX28" s="2"/>
      <c r="DY28" s="2"/>
      <c r="DZ28" s="2"/>
      <c r="EA28" s="2"/>
      <c r="EB28" s="2"/>
      <c r="EC28" s="2"/>
      <c r="ED28" s="2"/>
      <c r="EE28" s="2"/>
      <c r="EF28" s="2"/>
      <c r="EG28" s="2"/>
      <c r="EH28" s="2"/>
      <c r="EI28" s="2"/>
      <c r="EJ28" s="2"/>
      <c r="EK28" s="2"/>
      <c r="EL28" s="2"/>
      <c r="EM28" s="2"/>
      <c r="EN28" s="2"/>
      <c r="EO28" s="2"/>
      <c r="EP28" s="2"/>
      <c r="EQ28" s="2"/>
      <c r="ER28" s="2"/>
      <c r="ES28" s="2"/>
      <c r="ET28" s="2"/>
      <c r="EU28" s="2"/>
      <c r="EV28" s="2"/>
      <c r="EW28" s="2"/>
      <c r="EX28" s="2"/>
      <c r="EY28" s="2"/>
      <c r="EZ28" s="2"/>
      <c r="FA28" s="2"/>
      <c r="FB28" s="2"/>
      <c r="FC28" s="2"/>
      <c r="FD28" s="2"/>
      <c r="FE28" s="2"/>
      <c r="FF28" s="2"/>
      <c r="FG28" s="2"/>
      <c r="FH28" s="2"/>
      <c r="FI28" s="2"/>
      <c r="FJ28" s="2"/>
      <c r="FK28" s="2"/>
      <c r="FL28" s="2"/>
      <c r="FM28" s="2"/>
      <c r="FN28" s="2"/>
      <c r="FO28" s="2"/>
      <c r="FP28" s="2"/>
      <c r="FQ28" s="2"/>
      <c r="FR28" s="2"/>
      <c r="FS28" s="2"/>
      <c r="FT28" s="2"/>
      <c r="FU28" s="2"/>
      <c r="FV28" s="2"/>
      <c r="FW28" s="2"/>
      <c r="FX28" s="2"/>
      <c r="FY28" s="2"/>
      <c r="FZ28" s="2"/>
      <c r="GA28" s="2"/>
      <c r="GB28" s="2"/>
      <c r="GC28" s="2"/>
      <c r="GD28" s="2"/>
      <c r="GE28" s="2"/>
      <c r="GF28" s="2"/>
      <c r="GG28" s="2"/>
      <c r="GH28" s="2"/>
      <c r="GI28" s="2"/>
      <c r="GJ28" s="2"/>
      <c r="GK28" s="2"/>
      <c r="GL28" s="2"/>
      <c r="GM28" s="2"/>
      <c r="GN28" s="2"/>
      <c r="GO28" s="2"/>
      <c r="GP28" s="2"/>
      <c r="GQ28" s="2"/>
      <c r="GR28" s="2"/>
      <c r="GS28" s="2"/>
      <c r="GT28" s="2"/>
      <c r="GU28" s="2"/>
      <c r="GV28" s="2"/>
      <c r="GW28" s="2"/>
      <c r="GX28" s="2"/>
      <c r="GY28" s="2"/>
      <c r="GZ28" s="2"/>
      <c r="HA28" s="2"/>
      <c r="HB28" s="2"/>
      <c r="HC28" s="2"/>
      <c r="HD28" s="2"/>
      <c r="HE28" s="2"/>
      <c r="HF28" s="2"/>
      <c r="HG28" s="2"/>
      <c r="HH28" s="2"/>
      <c r="HI28" s="2"/>
      <c r="HJ28" s="2"/>
      <c r="HK28" s="2"/>
      <c r="HL28" s="2"/>
      <c r="HM28" s="2"/>
      <c r="HN28" s="2"/>
      <c r="HO28" s="2"/>
      <c r="HP28" s="2"/>
      <c r="HQ28" s="2"/>
      <c r="HR28" s="2"/>
      <c r="HS28" s="2"/>
      <c r="HT28" s="2"/>
      <c r="HU28" s="2"/>
      <c r="HV28" s="2"/>
      <c r="HW28" s="2"/>
      <c r="HX28" s="2"/>
      <c r="HY28" s="2"/>
      <c r="HZ28" s="2"/>
      <c r="IA28" s="2"/>
      <c r="IB28" s="2"/>
      <c r="IC28" s="2"/>
      <c r="ID28" s="2"/>
      <c r="IE28" s="2"/>
      <c r="IF28" s="2"/>
      <c r="IG28" s="2"/>
      <c r="IH28" s="2"/>
      <c r="II28" s="2"/>
      <c r="IJ28" s="2"/>
      <c r="IK28" s="2"/>
      <c r="IL28" s="2"/>
      <c r="IM28" s="2"/>
      <c r="IN28" s="2"/>
      <c r="IO28" s="2"/>
      <c r="IP28" s="2"/>
      <c r="IQ28" s="2"/>
      <c r="IR28" s="2"/>
      <c r="IS28" s="2"/>
      <c r="IT28" s="2"/>
      <c r="IU28" s="2"/>
      <c r="IV28" s="2"/>
    </row>
    <row r="29" spans="1:256" ht="11.85" customHeight="1">
      <c r="A29" s="24" t="s">
        <v>106</v>
      </c>
      <c r="B29" s="28"/>
      <c r="C29" s="41">
        <v>6</v>
      </c>
      <c r="D29" s="41">
        <v>8</v>
      </c>
      <c r="E29" s="277">
        <f t="shared" si="5"/>
        <v>33.333333333333329</v>
      </c>
      <c r="F29" s="26">
        <v>8</v>
      </c>
      <c r="G29" s="27">
        <v>4</v>
      </c>
      <c r="H29" s="277">
        <f t="shared" si="6"/>
        <v>-50</v>
      </c>
      <c r="I29" s="41">
        <f t="shared" si="7"/>
        <v>14</v>
      </c>
      <c r="J29" s="41">
        <f t="shared" si="8"/>
        <v>12</v>
      </c>
      <c r="K29" s="281">
        <f t="shared" si="9"/>
        <v>-14.28571428571429</v>
      </c>
      <c r="L29" s="8"/>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c r="CY29" s="2"/>
      <c r="CZ29" s="2"/>
      <c r="DA29" s="2"/>
      <c r="DB29" s="2"/>
      <c r="DC29" s="2"/>
      <c r="DD29" s="2"/>
      <c r="DE29" s="2"/>
      <c r="DF29" s="2"/>
      <c r="DG29" s="2"/>
      <c r="DH29" s="2"/>
      <c r="DI29" s="2"/>
      <c r="DJ29" s="2"/>
      <c r="DK29" s="2"/>
      <c r="DL29" s="2"/>
      <c r="DM29" s="2"/>
      <c r="DN29" s="2"/>
      <c r="DO29" s="2"/>
      <c r="DP29" s="2"/>
      <c r="DQ29" s="2"/>
      <c r="DR29" s="2"/>
      <c r="DS29" s="2"/>
      <c r="DT29" s="2"/>
      <c r="DU29" s="2"/>
      <c r="DV29" s="2"/>
      <c r="DW29" s="2"/>
      <c r="DX29" s="2"/>
      <c r="DY29" s="2"/>
      <c r="DZ29" s="2"/>
      <c r="EA29" s="2"/>
      <c r="EB29" s="2"/>
      <c r="EC29" s="2"/>
      <c r="ED29" s="2"/>
      <c r="EE29" s="2"/>
      <c r="EF29" s="2"/>
      <c r="EG29" s="2"/>
      <c r="EH29" s="2"/>
      <c r="EI29" s="2"/>
      <c r="EJ29" s="2"/>
      <c r="EK29" s="2"/>
      <c r="EL29" s="2"/>
      <c r="EM29" s="2"/>
      <c r="EN29" s="2"/>
      <c r="EO29" s="2"/>
      <c r="EP29" s="2"/>
      <c r="EQ29" s="2"/>
      <c r="ER29" s="2"/>
      <c r="ES29" s="2"/>
      <c r="ET29" s="2"/>
      <c r="EU29" s="2"/>
      <c r="EV29" s="2"/>
      <c r="EW29" s="2"/>
      <c r="EX29" s="2"/>
      <c r="EY29" s="2"/>
      <c r="EZ29" s="2"/>
      <c r="FA29" s="2"/>
      <c r="FB29" s="2"/>
      <c r="FC29" s="2"/>
      <c r="FD29" s="2"/>
      <c r="FE29" s="2"/>
      <c r="FF29" s="2"/>
      <c r="FG29" s="2"/>
      <c r="FH29" s="2"/>
      <c r="FI29" s="2"/>
      <c r="FJ29" s="2"/>
      <c r="FK29" s="2"/>
      <c r="FL29" s="2"/>
      <c r="FM29" s="2"/>
      <c r="FN29" s="2"/>
      <c r="FO29" s="2"/>
      <c r="FP29" s="2"/>
      <c r="FQ29" s="2"/>
      <c r="FR29" s="2"/>
      <c r="FS29" s="2"/>
      <c r="FT29" s="2"/>
      <c r="FU29" s="2"/>
      <c r="FV29" s="2"/>
      <c r="FW29" s="2"/>
      <c r="FX29" s="2"/>
      <c r="FY29" s="2"/>
      <c r="FZ29" s="2"/>
      <c r="GA29" s="2"/>
      <c r="GB29" s="2"/>
      <c r="GC29" s="2"/>
      <c r="GD29" s="2"/>
      <c r="GE29" s="2"/>
      <c r="GF29" s="2"/>
      <c r="GG29" s="2"/>
      <c r="GH29" s="2"/>
      <c r="GI29" s="2"/>
      <c r="GJ29" s="2"/>
      <c r="GK29" s="2"/>
      <c r="GL29" s="2"/>
      <c r="GM29" s="2"/>
      <c r="GN29" s="2"/>
      <c r="GO29" s="2"/>
      <c r="GP29" s="2"/>
      <c r="GQ29" s="2"/>
      <c r="GR29" s="2"/>
      <c r="GS29" s="2"/>
      <c r="GT29" s="2"/>
      <c r="GU29" s="2"/>
      <c r="GV29" s="2"/>
      <c r="GW29" s="2"/>
      <c r="GX29" s="2"/>
      <c r="GY29" s="2"/>
      <c r="GZ29" s="2"/>
      <c r="HA29" s="2"/>
      <c r="HB29" s="2"/>
      <c r="HC29" s="2"/>
      <c r="HD29" s="2"/>
      <c r="HE29" s="2"/>
      <c r="HF29" s="2"/>
      <c r="HG29" s="2"/>
      <c r="HH29" s="2"/>
      <c r="HI29" s="2"/>
      <c r="HJ29" s="2"/>
      <c r="HK29" s="2"/>
      <c r="HL29" s="2"/>
      <c r="HM29" s="2"/>
      <c r="HN29" s="2"/>
      <c r="HO29" s="2"/>
      <c r="HP29" s="2"/>
      <c r="HQ29" s="2"/>
      <c r="HR29" s="2"/>
      <c r="HS29" s="2"/>
      <c r="HT29" s="2"/>
      <c r="HU29" s="2"/>
      <c r="HV29" s="2"/>
      <c r="HW29" s="2"/>
      <c r="HX29" s="2"/>
      <c r="HY29" s="2"/>
      <c r="HZ29" s="2"/>
      <c r="IA29" s="2"/>
      <c r="IB29" s="2"/>
      <c r="IC29" s="2"/>
      <c r="ID29" s="2"/>
      <c r="IE29" s="2"/>
      <c r="IF29" s="2"/>
      <c r="IG29" s="2"/>
      <c r="IH29" s="2"/>
      <c r="II29" s="2"/>
      <c r="IJ29" s="2"/>
      <c r="IK29" s="2"/>
      <c r="IL29" s="2"/>
      <c r="IM29" s="2"/>
      <c r="IN29" s="2"/>
      <c r="IO29" s="2"/>
      <c r="IP29" s="2"/>
      <c r="IQ29" s="2"/>
      <c r="IR29" s="2"/>
      <c r="IS29" s="2"/>
      <c r="IT29" s="2"/>
      <c r="IU29" s="2"/>
      <c r="IV29" s="2"/>
    </row>
    <row r="30" spans="1:256" ht="11.85" customHeight="1">
      <c r="A30" s="24" t="s">
        <v>20</v>
      </c>
      <c r="B30" s="28"/>
      <c r="C30" s="41">
        <v>21</v>
      </c>
      <c r="D30" s="41">
        <v>8</v>
      </c>
      <c r="E30" s="277">
        <f t="shared" si="5"/>
        <v>-61.904761904761905</v>
      </c>
      <c r="F30" s="26">
        <v>87</v>
      </c>
      <c r="G30" s="27">
        <v>32</v>
      </c>
      <c r="H30" s="277">
        <f t="shared" si="6"/>
        <v>-63.218390804597703</v>
      </c>
      <c r="I30" s="41">
        <f t="shared" si="7"/>
        <v>108</v>
      </c>
      <c r="J30" s="41">
        <f t="shared" si="8"/>
        <v>40</v>
      </c>
      <c r="K30" s="281">
        <f t="shared" si="9"/>
        <v>-62.962962962962962</v>
      </c>
      <c r="L30" s="8"/>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c r="CK30" s="2"/>
      <c r="CL30" s="2"/>
      <c r="CM30" s="2"/>
      <c r="CN30" s="2"/>
      <c r="CO30" s="2"/>
      <c r="CP30" s="2"/>
      <c r="CQ30" s="2"/>
      <c r="CR30" s="2"/>
      <c r="CS30" s="2"/>
      <c r="CT30" s="2"/>
      <c r="CU30" s="2"/>
      <c r="CV30" s="2"/>
      <c r="CW30" s="2"/>
      <c r="CX30" s="2"/>
      <c r="CY30" s="2"/>
      <c r="CZ30" s="2"/>
      <c r="DA30" s="2"/>
      <c r="DB30" s="2"/>
      <c r="DC30" s="2"/>
      <c r="DD30" s="2"/>
      <c r="DE30" s="2"/>
      <c r="DF30" s="2"/>
      <c r="DG30" s="2"/>
      <c r="DH30" s="2"/>
      <c r="DI30" s="2"/>
      <c r="DJ30" s="2"/>
      <c r="DK30" s="2"/>
      <c r="DL30" s="2"/>
      <c r="DM30" s="2"/>
      <c r="DN30" s="2"/>
      <c r="DO30" s="2"/>
      <c r="DP30" s="2"/>
      <c r="DQ30" s="2"/>
      <c r="DR30" s="2"/>
      <c r="DS30" s="2"/>
      <c r="DT30" s="2"/>
      <c r="DU30" s="2"/>
      <c r="DV30" s="2"/>
      <c r="DW30" s="2"/>
      <c r="DX30" s="2"/>
      <c r="DY30" s="2"/>
      <c r="DZ30" s="2"/>
      <c r="EA30" s="2"/>
      <c r="EB30" s="2"/>
      <c r="EC30" s="2"/>
      <c r="ED30" s="2"/>
      <c r="EE30" s="2"/>
      <c r="EF30" s="2"/>
      <c r="EG30" s="2"/>
      <c r="EH30" s="2"/>
      <c r="EI30" s="2"/>
      <c r="EJ30" s="2"/>
      <c r="EK30" s="2"/>
      <c r="EL30" s="2"/>
      <c r="EM30" s="2"/>
      <c r="EN30" s="2"/>
      <c r="EO30" s="2"/>
      <c r="EP30" s="2"/>
      <c r="EQ30" s="2"/>
      <c r="ER30" s="2"/>
      <c r="ES30" s="2"/>
      <c r="ET30" s="2"/>
      <c r="EU30" s="2"/>
      <c r="EV30" s="2"/>
      <c r="EW30" s="2"/>
      <c r="EX30" s="2"/>
      <c r="EY30" s="2"/>
      <c r="EZ30" s="2"/>
      <c r="FA30" s="2"/>
      <c r="FB30" s="2"/>
      <c r="FC30" s="2"/>
      <c r="FD30" s="2"/>
      <c r="FE30" s="2"/>
      <c r="FF30" s="2"/>
      <c r="FG30" s="2"/>
      <c r="FH30" s="2"/>
      <c r="FI30" s="2"/>
      <c r="FJ30" s="2"/>
      <c r="FK30" s="2"/>
      <c r="FL30" s="2"/>
      <c r="FM30" s="2"/>
      <c r="FN30" s="2"/>
      <c r="FO30" s="2"/>
      <c r="FP30" s="2"/>
      <c r="FQ30" s="2"/>
      <c r="FR30" s="2"/>
      <c r="FS30" s="2"/>
      <c r="FT30" s="2"/>
      <c r="FU30" s="2"/>
      <c r="FV30" s="2"/>
      <c r="FW30" s="2"/>
      <c r="FX30" s="2"/>
      <c r="FY30" s="2"/>
      <c r="FZ30" s="2"/>
      <c r="GA30" s="2"/>
      <c r="GB30" s="2"/>
      <c r="GC30" s="2"/>
      <c r="GD30" s="2"/>
      <c r="GE30" s="2"/>
      <c r="GF30" s="2"/>
      <c r="GG30" s="2"/>
      <c r="GH30" s="2"/>
      <c r="GI30" s="2"/>
      <c r="GJ30" s="2"/>
      <c r="GK30" s="2"/>
      <c r="GL30" s="2"/>
      <c r="GM30" s="2"/>
      <c r="GN30" s="2"/>
      <c r="GO30" s="2"/>
      <c r="GP30" s="2"/>
      <c r="GQ30" s="2"/>
      <c r="GR30" s="2"/>
      <c r="GS30" s="2"/>
      <c r="GT30" s="2"/>
      <c r="GU30" s="2"/>
      <c r="GV30" s="2"/>
      <c r="GW30" s="2"/>
      <c r="GX30" s="2"/>
      <c r="GY30" s="2"/>
      <c r="GZ30" s="2"/>
      <c r="HA30" s="2"/>
      <c r="HB30" s="2"/>
      <c r="HC30" s="2"/>
      <c r="HD30" s="2"/>
      <c r="HE30" s="2"/>
      <c r="HF30" s="2"/>
      <c r="HG30" s="2"/>
      <c r="HH30" s="2"/>
      <c r="HI30" s="2"/>
      <c r="HJ30" s="2"/>
      <c r="HK30" s="2"/>
      <c r="HL30" s="2"/>
      <c r="HM30" s="2"/>
      <c r="HN30" s="2"/>
      <c r="HO30" s="2"/>
      <c r="HP30" s="2"/>
      <c r="HQ30" s="2"/>
      <c r="HR30" s="2"/>
      <c r="HS30" s="2"/>
      <c r="HT30" s="2"/>
      <c r="HU30" s="2"/>
      <c r="HV30" s="2"/>
      <c r="HW30" s="2"/>
      <c r="HX30" s="2"/>
      <c r="HY30" s="2"/>
      <c r="HZ30" s="2"/>
      <c r="IA30" s="2"/>
      <c r="IB30" s="2"/>
      <c r="IC30" s="2"/>
      <c r="ID30" s="2"/>
      <c r="IE30" s="2"/>
      <c r="IF30" s="2"/>
      <c r="IG30" s="2"/>
      <c r="IH30" s="2"/>
      <c r="II30" s="2"/>
      <c r="IJ30" s="2"/>
      <c r="IK30" s="2"/>
      <c r="IL30" s="2"/>
      <c r="IM30" s="2"/>
      <c r="IN30" s="2"/>
      <c r="IO30" s="2"/>
      <c r="IP30" s="2"/>
      <c r="IQ30" s="2"/>
      <c r="IR30" s="2"/>
      <c r="IS30" s="2"/>
      <c r="IT30" s="2"/>
      <c r="IU30" s="2"/>
      <c r="IV30" s="2"/>
    </row>
    <row r="31" spans="1:256" ht="11.85" customHeight="1">
      <c r="A31" s="24" t="s">
        <v>21</v>
      </c>
      <c r="B31" s="28"/>
      <c r="C31" s="26">
        <v>75</v>
      </c>
      <c r="D31" s="41">
        <v>86</v>
      </c>
      <c r="E31" s="277">
        <f t="shared" si="5"/>
        <v>14.666666666666671</v>
      </c>
      <c r="F31" s="26">
        <v>253</v>
      </c>
      <c r="G31" s="27">
        <v>495</v>
      </c>
      <c r="H31" s="277">
        <f t="shared" si="6"/>
        <v>95.652173913043484</v>
      </c>
      <c r="I31" s="26">
        <f t="shared" si="7"/>
        <v>328</v>
      </c>
      <c r="J31" s="26">
        <f t="shared" si="8"/>
        <v>581</v>
      </c>
      <c r="K31" s="281">
        <f t="shared" si="9"/>
        <v>77.134146341463406</v>
      </c>
      <c r="L31" s="8"/>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F31" s="2"/>
      <c r="CG31" s="2"/>
      <c r="CH31" s="2"/>
      <c r="CI31" s="2"/>
      <c r="CJ31" s="2"/>
      <c r="CK31" s="2"/>
      <c r="CL31" s="2"/>
      <c r="CM31" s="2"/>
      <c r="CN31" s="2"/>
      <c r="CO31" s="2"/>
      <c r="CP31" s="2"/>
      <c r="CQ31" s="2"/>
      <c r="CR31" s="2"/>
      <c r="CS31" s="2"/>
      <c r="CT31" s="2"/>
      <c r="CU31" s="2"/>
      <c r="CV31" s="2"/>
      <c r="CW31" s="2"/>
      <c r="CX31" s="2"/>
      <c r="CY31" s="2"/>
      <c r="CZ31" s="2"/>
      <c r="DA31" s="2"/>
      <c r="DB31" s="2"/>
      <c r="DC31" s="2"/>
      <c r="DD31" s="2"/>
      <c r="DE31" s="2"/>
      <c r="DF31" s="2"/>
      <c r="DG31" s="2"/>
      <c r="DH31" s="2"/>
      <c r="DI31" s="2"/>
      <c r="DJ31" s="2"/>
      <c r="DK31" s="2"/>
      <c r="DL31" s="2"/>
      <c r="DM31" s="2"/>
      <c r="DN31" s="2"/>
      <c r="DO31" s="2"/>
      <c r="DP31" s="2"/>
      <c r="DQ31" s="2"/>
      <c r="DR31" s="2"/>
      <c r="DS31" s="2"/>
      <c r="DT31" s="2"/>
      <c r="DU31" s="2"/>
      <c r="DV31" s="2"/>
      <c r="DW31" s="2"/>
      <c r="DX31" s="2"/>
      <c r="DY31" s="2"/>
      <c r="DZ31" s="2"/>
      <c r="EA31" s="2"/>
      <c r="EB31" s="2"/>
      <c r="EC31" s="2"/>
      <c r="ED31" s="2"/>
      <c r="EE31" s="2"/>
      <c r="EF31" s="2"/>
      <c r="EG31" s="2"/>
      <c r="EH31" s="2"/>
      <c r="EI31" s="2"/>
      <c r="EJ31" s="2"/>
      <c r="EK31" s="2"/>
      <c r="EL31" s="2"/>
      <c r="EM31" s="2"/>
      <c r="EN31" s="2"/>
      <c r="EO31" s="2"/>
      <c r="EP31" s="2"/>
      <c r="EQ31" s="2"/>
      <c r="ER31" s="2"/>
      <c r="ES31" s="2"/>
      <c r="ET31" s="2"/>
      <c r="EU31" s="2"/>
      <c r="EV31" s="2"/>
      <c r="EW31" s="2"/>
      <c r="EX31" s="2"/>
      <c r="EY31" s="2"/>
      <c r="EZ31" s="2"/>
      <c r="FA31" s="2"/>
      <c r="FB31" s="2"/>
      <c r="FC31" s="2"/>
      <c r="FD31" s="2"/>
      <c r="FE31" s="2"/>
      <c r="FF31" s="2"/>
      <c r="FG31" s="2"/>
      <c r="FH31" s="2"/>
      <c r="FI31" s="2"/>
      <c r="FJ31" s="2"/>
      <c r="FK31" s="2"/>
      <c r="FL31" s="2"/>
      <c r="FM31" s="2"/>
      <c r="FN31" s="2"/>
      <c r="FO31" s="2"/>
      <c r="FP31" s="2"/>
      <c r="FQ31" s="2"/>
      <c r="FR31" s="2"/>
      <c r="FS31" s="2"/>
      <c r="FT31" s="2"/>
      <c r="FU31" s="2"/>
      <c r="FV31" s="2"/>
      <c r="FW31" s="2"/>
      <c r="FX31" s="2"/>
      <c r="FY31" s="2"/>
      <c r="FZ31" s="2"/>
      <c r="GA31" s="2"/>
      <c r="GB31" s="2"/>
      <c r="GC31" s="2"/>
      <c r="GD31" s="2"/>
      <c r="GE31" s="2"/>
      <c r="GF31" s="2"/>
      <c r="GG31" s="2"/>
      <c r="GH31" s="2"/>
      <c r="GI31" s="2"/>
      <c r="GJ31" s="2"/>
      <c r="GK31" s="2"/>
      <c r="GL31" s="2"/>
      <c r="GM31" s="2"/>
      <c r="GN31" s="2"/>
      <c r="GO31" s="2"/>
      <c r="GP31" s="2"/>
      <c r="GQ31" s="2"/>
      <c r="GR31" s="2"/>
      <c r="GS31" s="2"/>
      <c r="GT31" s="2"/>
      <c r="GU31" s="2"/>
      <c r="GV31" s="2"/>
      <c r="GW31" s="2"/>
      <c r="GX31" s="2"/>
      <c r="GY31" s="2"/>
      <c r="GZ31" s="2"/>
      <c r="HA31" s="2"/>
      <c r="HB31" s="2"/>
      <c r="HC31" s="2"/>
      <c r="HD31" s="2"/>
      <c r="HE31" s="2"/>
      <c r="HF31" s="2"/>
      <c r="HG31" s="2"/>
      <c r="HH31" s="2"/>
      <c r="HI31" s="2"/>
      <c r="HJ31" s="2"/>
      <c r="HK31" s="2"/>
      <c r="HL31" s="2"/>
      <c r="HM31" s="2"/>
      <c r="HN31" s="2"/>
      <c r="HO31" s="2"/>
      <c r="HP31" s="2"/>
      <c r="HQ31" s="2"/>
      <c r="HR31" s="2"/>
      <c r="HS31" s="2"/>
      <c r="HT31" s="2"/>
      <c r="HU31" s="2"/>
      <c r="HV31" s="2"/>
      <c r="HW31" s="2"/>
      <c r="HX31" s="2"/>
      <c r="HY31" s="2"/>
      <c r="HZ31" s="2"/>
      <c r="IA31" s="2"/>
      <c r="IB31" s="2"/>
      <c r="IC31" s="2"/>
      <c r="ID31" s="2"/>
      <c r="IE31" s="2"/>
      <c r="IF31" s="2"/>
      <c r="IG31" s="2"/>
      <c r="IH31" s="2"/>
      <c r="II31" s="2"/>
      <c r="IJ31" s="2"/>
      <c r="IK31" s="2"/>
      <c r="IL31" s="2"/>
      <c r="IM31" s="2"/>
      <c r="IN31" s="2"/>
      <c r="IO31" s="2"/>
      <c r="IP31" s="2"/>
      <c r="IQ31" s="2"/>
      <c r="IR31" s="2"/>
      <c r="IS31" s="2"/>
      <c r="IT31" s="2"/>
      <c r="IU31" s="2"/>
      <c r="IV31" s="2"/>
    </row>
    <row r="32" spans="1:256" ht="11.85" customHeight="1">
      <c r="A32" s="24" t="s">
        <v>22</v>
      </c>
      <c r="B32" s="28"/>
      <c r="C32" s="26">
        <v>45</v>
      </c>
      <c r="D32" s="41">
        <v>41</v>
      </c>
      <c r="E32" s="277">
        <f t="shared" si="5"/>
        <v>-8.8888888888888911</v>
      </c>
      <c r="F32" s="26">
        <v>281</v>
      </c>
      <c r="G32" s="27">
        <v>261</v>
      </c>
      <c r="H32" s="277">
        <f t="shared" si="6"/>
        <v>-7.1174377224199281</v>
      </c>
      <c r="I32" s="26">
        <f t="shared" si="7"/>
        <v>326</v>
      </c>
      <c r="J32" s="26">
        <f t="shared" si="8"/>
        <v>302</v>
      </c>
      <c r="K32" s="281">
        <f t="shared" si="9"/>
        <v>-7.361963190184051</v>
      </c>
      <c r="L32" s="8"/>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c r="CM32" s="2"/>
      <c r="CN32" s="2"/>
      <c r="CO32" s="2"/>
      <c r="CP32" s="2"/>
      <c r="CQ32" s="2"/>
      <c r="CR32" s="2"/>
      <c r="CS32" s="2"/>
      <c r="CT32" s="2"/>
      <c r="CU32" s="2"/>
      <c r="CV32" s="2"/>
      <c r="CW32" s="2"/>
      <c r="CX32" s="2"/>
      <c r="CY32" s="2"/>
      <c r="CZ32" s="2"/>
      <c r="DA32" s="2"/>
      <c r="DB32" s="2"/>
      <c r="DC32" s="2"/>
      <c r="DD32" s="2"/>
      <c r="DE32" s="2"/>
      <c r="DF32" s="2"/>
      <c r="DG32" s="2"/>
      <c r="DH32" s="2"/>
      <c r="DI32" s="2"/>
      <c r="DJ32" s="2"/>
      <c r="DK32" s="2"/>
      <c r="DL32" s="2"/>
      <c r="DM32" s="2"/>
      <c r="DN32" s="2"/>
      <c r="DO32" s="2"/>
      <c r="DP32" s="2"/>
      <c r="DQ32" s="2"/>
      <c r="DR32" s="2"/>
      <c r="DS32" s="2"/>
      <c r="DT32" s="2"/>
      <c r="DU32" s="2"/>
      <c r="DV32" s="2"/>
      <c r="DW32" s="2"/>
      <c r="DX32" s="2"/>
      <c r="DY32" s="2"/>
      <c r="DZ32" s="2"/>
      <c r="EA32" s="2"/>
      <c r="EB32" s="2"/>
      <c r="EC32" s="2"/>
      <c r="ED32" s="2"/>
      <c r="EE32" s="2"/>
      <c r="EF32" s="2"/>
      <c r="EG32" s="2"/>
      <c r="EH32" s="2"/>
      <c r="EI32" s="2"/>
      <c r="EJ32" s="2"/>
      <c r="EK32" s="2"/>
      <c r="EL32" s="2"/>
      <c r="EM32" s="2"/>
      <c r="EN32" s="2"/>
      <c r="EO32" s="2"/>
      <c r="EP32" s="2"/>
      <c r="EQ32" s="2"/>
      <c r="ER32" s="2"/>
      <c r="ES32" s="2"/>
      <c r="ET32" s="2"/>
      <c r="EU32" s="2"/>
      <c r="EV32" s="2"/>
      <c r="EW32" s="2"/>
      <c r="EX32" s="2"/>
      <c r="EY32" s="2"/>
      <c r="EZ32" s="2"/>
      <c r="FA32" s="2"/>
      <c r="FB32" s="2"/>
      <c r="FC32" s="2"/>
      <c r="FD32" s="2"/>
      <c r="FE32" s="2"/>
      <c r="FF32" s="2"/>
      <c r="FG32" s="2"/>
      <c r="FH32" s="2"/>
      <c r="FI32" s="2"/>
      <c r="FJ32" s="2"/>
      <c r="FK32" s="2"/>
      <c r="FL32" s="2"/>
      <c r="FM32" s="2"/>
      <c r="FN32" s="2"/>
      <c r="FO32" s="2"/>
      <c r="FP32" s="2"/>
      <c r="FQ32" s="2"/>
      <c r="FR32" s="2"/>
      <c r="FS32" s="2"/>
      <c r="FT32" s="2"/>
      <c r="FU32" s="2"/>
      <c r="FV32" s="2"/>
      <c r="FW32" s="2"/>
      <c r="FX32" s="2"/>
      <c r="FY32" s="2"/>
      <c r="FZ32" s="2"/>
      <c r="GA32" s="2"/>
      <c r="GB32" s="2"/>
      <c r="GC32" s="2"/>
      <c r="GD32" s="2"/>
      <c r="GE32" s="2"/>
      <c r="GF32" s="2"/>
      <c r="GG32" s="2"/>
      <c r="GH32" s="2"/>
      <c r="GI32" s="2"/>
      <c r="GJ32" s="2"/>
      <c r="GK32" s="2"/>
      <c r="GL32" s="2"/>
      <c r="GM32" s="2"/>
      <c r="GN32" s="2"/>
      <c r="GO32" s="2"/>
      <c r="GP32" s="2"/>
      <c r="GQ32" s="2"/>
      <c r="GR32" s="2"/>
      <c r="GS32" s="2"/>
      <c r="GT32" s="2"/>
      <c r="GU32" s="2"/>
      <c r="GV32" s="2"/>
      <c r="GW32" s="2"/>
      <c r="GX32" s="2"/>
      <c r="GY32" s="2"/>
      <c r="GZ32" s="2"/>
      <c r="HA32" s="2"/>
      <c r="HB32" s="2"/>
      <c r="HC32" s="2"/>
      <c r="HD32" s="2"/>
      <c r="HE32" s="2"/>
      <c r="HF32" s="2"/>
      <c r="HG32" s="2"/>
      <c r="HH32" s="2"/>
      <c r="HI32" s="2"/>
      <c r="HJ32" s="2"/>
      <c r="HK32" s="2"/>
      <c r="HL32" s="2"/>
      <c r="HM32" s="2"/>
      <c r="HN32" s="2"/>
      <c r="HO32" s="2"/>
      <c r="HP32" s="2"/>
      <c r="HQ32" s="2"/>
      <c r="HR32" s="2"/>
      <c r="HS32" s="2"/>
      <c r="HT32" s="2"/>
      <c r="HU32" s="2"/>
      <c r="HV32" s="2"/>
      <c r="HW32" s="2"/>
      <c r="HX32" s="2"/>
      <c r="HY32" s="2"/>
      <c r="HZ32" s="2"/>
      <c r="IA32" s="2"/>
      <c r="IB32" s="2"/>
      <c r="IC32" s="2"/>
      <c r="ID32" s="2"/>
      <c r="IE32" s="2"/>
      <c r="IF32" s="2"/>
      <c r="IG32" s="2"/>
      <c r="IH32" s="2"/>
      <c r="II32" s="2"/>
      <c r="IJ32" s="2"/>
      <c r="IK32" s="2"/>
      <c r="IL32" s="2"/>
      <c r="IM32" s="2"/>
      <c r="IN32" s="2"/>
      <c r="IO32" s="2"/>
      <c r="IP32" s="2"/>
      <c r="IQ32" s="2"/>
      <c r="IR32" s="2"/>
      <c r="IS32" s="2"/>
      <c r="IT32" s="2"/>
      <c r="IU32" s="2"/>
      <c r="IV32" s="2"/>
    </row>
    <row r="33" spans="1:256" ht="11.85" customHeight="1">
      <c r="A33" s="24" t="s">
        <v>23</v>
      </c>
      <c r="B33" s="28"/>
      <c r="C33" s="41">
        <v>0</v>
      </c>
      <c r="D33" s="41">
        <v>106</v>
      </c>
      <c r="E33" s="277" t="str">
        <f t="shared" si="5"/>
        <v>##</v>
      </c>
      <c r="F33" s="26">
        <v>0</v>
      </c>
      <c r="G33" s="27">
        <v>457</v>
      </c>
      <c r="H33" s="277" t="str">
        <f t="shared" si="6"/>
        <v>##</v>
      </c>
      <c r="I33" s="41">
        <f t="shared" si="7"/>
        <v>0</v>
      </c>
      <c r="J33" s="41">
        <f t="shared" si="8"/>
        <v>563</v>
      </c>
      <c r="K33" s="281" t="str">
        <f t="shared" si="9"/>
        <v>##</v>
      </c>
      <c r="L33" s="8"/>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c r="CL33" s="2"/>
      <c r="CM33" s="2"/>
      <c r="CN33" s="2"/>
      <c r="CO33" s="2"/>
      <c r="CP33" s="2"/>
      <c r="CQ33" s="2"/>
      <c r="CR33" s="2"/>
      <c r="CS33" s="2"/>
      <c r="CT33" s="2"/>
      <c r="CU33" s="2"/>
      <c r="CV33" s="2"/>
      <c r="CW33" s="2"/>
      <c r="CX33" s="2"/>
      <c r="CY33" s="2"/>
      <c r="CZ33" s="2"/>
      <c r="DA33" s="2"/>
      <c r="DB33" s="2"/>
      <c r="DC33" s="2"/>
      <c r="DD33" s="2"/>
      <c r="DE33" s="2"/>
      <c r="DF33" s="2"/>
      <c r="DG33" s="2"/>
      <c r="DH33" s="2"/>
      <c r="DI33" s="2"/>
      <c r="DJ33" s="2"/>
      <c r="DK33" s="2"/>
      <c r="DL33" s="2"/>
      <c r="DM33" s="2"/>
      <c r="DN33" s="2"/>
      <c r="DO33" s="2"/>
      <c r="DP33" s="2"/>
      <c r="DQ33" s="2"/>
      <c r="DR33" s="2"/>
      <c r="DS33" s="2"/>
      <c r="DT33" s="2"/>
      <c r="DU33" s="2"/>
      <c r="DV33" s="2"/>
      <c r="DW33" s="2"/>
      <c r="DX33" s="2"/>
      <c r="DY33" s="2"/>
      <c r="DZ33" s="2"/>
      <c r="EA33" s="2"/>
      <c r="EB33" s="2"/>
      <c r="EC33" s="2"/>
      <c r="ED33" s="2"/>
      <c r="EE33" s="2"/>
      <c r="EF33" s="2"/>
      <c r="EG33" s="2"/>
      <c r="EH33" s="2"/>
      <c r="EI33" s="2"/>
      <c r="EJ33" s="2"/>
      <c r="EK33" s="2"/>
      <c r="EL33" s="2"/>
      <c r="EM33" s="2"/>
      <c r="EN33" s="2"/>
      <c r="EO33" s="2"/>
      <c r="EP33" s="2"/>
      <c r="EQ33" s="2"/>
      <c r="ER33" s="2"/>
      <c r="ES33" s="2"/>
      <c r="ET33" s="2"/>
      <c r="EU33" s="2"/>
      <c r="EV33" s="2"/>
      <c r="EW33" s="2"/>
      <c r="EX33" s="2"/>
      <c r="EY33" s="2"/>
      <c r="EZ33" s="2"/>
      <c r="FA33" s="2"/>
      <c r="FB33" s="2"/>
      <c r="FC33" s="2"/>
      <c r="FD33" s="2"/>
      <c r="FE33" s="2"/>
      <c r="FF33" s="2"/>
      <c r="FG33" s="2"/>
      <c r="FH33" s="2"/>
      <c r="FI33" s="2"/>
      <c r="FJ33" s="2"/>
      <c r="FK33" s="2"/>
      <c r="FL33" s="2"/>
      <c r="FM33" s="2"/>
      <c r="FN33" s="2"/>
      <c r="FO33" s="2"/>
      <c r="FP33" s="2"/>
      <c r="FQ33" s="2"/>
      <c r="FR33" s="2"/>
      <c r="FS33" s="2"/>
      <c r="FT33" s="2"/>
      <c r="FU33" s="2"/>
      <c r="FV33" s="2"/>
      <c r="FW33" s="2"/>
      <c r="FX33" s="2"/>
      <c r="FY33" s="2"/>
      <c r="FZ33" s="2"/>
      <c r="GA33" s="2"/>
      <c r="GB33" s="2"/>
      <c r="GC33" s="2"/>
      <c r="GD33" s="2"/>
      <c r="GE33" s="2"/>
      <c r="GF33" s="2"/>
      <c r="GG33" s="2"/>
      <c r="GH33" s="2"/>
      <c r="GI33" s="2"/>
      <c r="GJ33" s="2"/>
      <c r="GK33" s="2"/>
      <c r="GL33" s="2"/>
      <c r="GM33" s="2"/>
      <c r="GN33" s="2"/>
      <c r="GO33" s="2"/>
      <c r="GP33" s="2"/>
      <c r="GQ33" s="2"/>
      <c r="GR33" s="2"/>
      <c r="GS33" s="2"/>
      <c r="GT33" s="2"/>
      <c r="GU33" s="2"/>
      <c r="GV33" s="2"/>
      <c r="GW33" s="2"/>
      <c r="GX33" s="2"/>
      <c r="GY33" s="2"/>
      <c r="GZ33" s="2"/>
      <c r="HA33" s="2"/>
      <c r="HB33" s="2"/>
      <c r="HC33" s="2"/>
      <c r="HD33" s="2"/>
      <c r="HE33" s="2"/>
      <c r="HF33" s="2"/>
      <c r="HG33" s="2"/>
      <c r="HH33" s="2"/>
      <c r="HI33" s="2"/>
      <c r="HJ33" s="2"/>
      <c r="HK33" s="2"/>
      <c r="HL33" s="2"/>
      <c r="HM33" s="2"/>
      <c r="HN33" s="2"/>
      <c r="HO33" s="2"/>
      <c r="HP33" s="2"/>
      <c r="HQ33" s="2"/>
      <c r="HR33" s="2"/>
      <c r="HS33" s="2"/>
      <c r="HT33" s="2"/>
      <c r="HU33" s="2"/>
      <c r="HV33" s="2"/>
      <c r="HW33" s="2"/>
      <c r="HX33" s="2"/>
      <c r="HY33" s="2"/>
      <c r="HZ33" s="2"/>
      <c r="IA33" s="2"/>
      <c r="IB33" s="2"/>
      <c r="IC33" s="2"/>
      <c r="ID33" s="2"/>
      <c r="IE33" s="2"/>
      <c r="IF33" s="2"/>
      <c r="IG33" s="2"/>
      <c r="IH33" s="2"/>
      <c r="II33" s="2"/>
      <c r="IJ33" s="2"/>
      <c r="IK33" s="2"/>
      <c r="IL33" s="2"/>
      <c r="IM33" s="2"/>
      <c r="IN33" s="2"/>
      <c r="IO33" s="2"/>
      <c r="IP33" s="2"/>
      <c r="IQ33" s="2"/>
      <c r="IR33" s="2"/>
      <c r="IS33" s="2"/>
      <c r="IT33" s="2"/>
      <c r="IU33" s="2"/>
      <c r="IV33" s="2"/>
    </row>
    <row r="34" spans="1:256" ht="11.85" customHeight="1">
      <c r="A34" s="24" t="s">
        <v>24</v>
      </c>
      <c r="B34" s="28"/>
      <c r="C34" s="26">
        <v>20</v>
      </c>
      <c r="D34" s="41">
        <v>28</v>
      </c>
      <c r="E34" s="277">
        <f t="shared" si="5"/>
        <v>39.999999999999993</v>
      </c>
      <c r="F34" s="26">
        <v>37</v>
      </c>
      <c r="G34" s="27">
        <v>17</v>
      </c>
      <c r="H34" s="277">
        <f t="shared" si="6"/>
        <v>-54.054054054054056</v>
      </c>
      <c r="I34" s="26">
        <f t="shared" si="7"/>
        <v>57</v>
      </c>
      <c r="J34" s="26">
        <f t="shared" si="8"/>
        <v>45</v>
      </c>
      <c r="K34" s="281">
        <f t="shared" si="9"/>
        <v>-21.052631578947366</v>
      </c>
      <c r="L34" s="8"/>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c r="CL34" s="2"/>
      <c r="CM34" s="2"/>
      <c r="CN34" s="2"/>
      <c r="CO34" s="2"/>
      <c r="CP34" s="2"/>
      <c r="CQ34" s="2"/>
      <c r="CR34" s="2"/>
      <c r="CS34" s="2"/>
      <c r="CT34" s="2"/>
      <c r="CU34" s="2"/>
      <c r="CV34" s="2"/>
      <c r="CW34" s="2"/>
      <c r="CX34" s="2"/>
      <c r="CY34" s="2"/>
      <c r="CZ34" s="2"/>
      <c r="DA34" s="2"/>
      <c r="DB34" s="2"/>
      <c r="DC34" s="2"/>
      <c r="DD34" s="2"/>
      <c r="DE34" s="2"/>
      <c r="DF34" s="2"/>
      <c r="DG34" s="2"/>
      <c r="DH34" s="2"/>
      <c r="DI34" s="2"/>
      <c r="DJ34" s="2"/>
      <c r="DK34" s="2"/>
      <c r="DL34" s="2"/>
      <c r="DM34" s="2"/>
      <c r="DN34" s="2"/>
      <c r="DO34" s="2"/>
      <c r="DP34" s="2"/>
      <c r="DQ34" s="2"/>
      <c r="DR34" s="2"/>
      <c r="DS34" s="2"/>
      <c r="DT34" s="2"/>
      <c r="DU34" s="2"/>
      <c r="DV34" s="2"/>
      <c r="DW34" s="2"/>
      <c r="DX34" s="2"/>
      <c r="DY34" s="2"/>
      <c r="DZ34" s="2"/>
      <c r="EA34" s="2"/>
      <c r="EB34" s="2"/>
      <c r="EC34" s="2"/>
      <c r="ED34" s="2"/>
      <c r="EE34" s="2"/>
      <c r="EF34" s="2"/>
      <c r="EG34" s="2"/>
      <c r="EH34" s="2"/>
      <c r="EI34" s="2"/>
      <c r="EJ34" s="2"/>
      <c r="EK34" s="2"/>
      <c r="EL34" s="2"/>
      <c r="EM34" s="2"/>
      <c r="EN34" s="2"/>
      <c r="EO34" s="2"/>
      <c r="EP34" s="2"/>
      <c r="EQ34" s="2"/>
      <c r="ER34" s="2"/>
      <c r="ES34" s="2"/>
      <c r="ET34" s="2"/>
      <c r="EU34" s="2"/>
      <c r="EV34" s="2"/>
      <c r="EW34" s="2"/>
      <c r="EX34" s="2"/>
      <c r="EY34" s="2"/>
      <c r="EZ34" s="2"/>
      <c r="FA34" s="2"/>
      <c r="FB34" s="2"/>
      <c r="FC34" s="2"/>
      <c r="FD34" s="2"/>
      <c r="FE34" s="2"/>
      <c r="FF34" s="2"/>
      <c r="FG34" s="2"/>
      <c r="FH34" s="2"/>
      <c r="FI34" s="2"/>
      <c r="FJ34" s="2"/>
      <c r="FK34" s="2"/>
      <c r="FL34" s="2"/>
      <c r="FM34" s="2"/>
      <c r="FN34" s="2"/>
      <c r="FO34" s="2"/>
      <c r="FP34" s="2"/>
      <c r="FQ34" s="2"/>
      <c r="FR34" s="2"/>
      <c r="FS34" s="2"/>
      <c r="FT34" s="2"/>
      <c r="FU34" s="2"/>
      <c r="FV34" s="2"/>
      <c r="FW34" s="2"/>
      <c r="FX34" s="2"/>
      <c r="FY34" s="2"/>
      <c r="FZ34" s="2"/>
      <c r="GA34" s="2"/>
      <c r="GB34" s="2"/>
      <c r="GC34" s="2"/>
      <c r="GD34" s="2"/>
      <c r="GE34" s="2"/>
      <c r="GF34" s="2"/>
      <c r="GG34" s="2"/>
      <c r="GH34" s="2"/>
      <c r="GI34" s="2"/>
      <c r="GJ34" s="2"/>
      <c r="GK34" s="2"/>
      <c r="GL34" s="2"/>
      <c r="GM34" s="2"/>
      <c r="GN34" s="2"/>
      <c r="GO34" s="2"/>
      <c r="GP34" s="2"/>
      <c r="GQ34" s="2"/>
      <c r="GR34" s="2"/>
      <c r="GS34" s="2"/>
      <c r="GT34" s="2"/>
      <c r="GU34" s="2"/>
      <c r="GV34" s="2"/>
      <c r="GW34" s="2"/>
      <c r="GX34" s="2"/>
      <c r="GY34" s="2"/>
      <c r="GZ34" s="2"/>
      <c r="HA34" s="2"/>
      <c r="HB34" s="2"/>
      <c r="HC34" s="2"/>
      <c r="HD34" s="2"/>
      <c r="HE34" s="2"/>
      <c r="HF34" s="2"/>
      <c r="HG34" s="2"/>
      <c r="HH34" s="2"/>
      <c r="HI34" s="2"/>
      <c r="HJ34" s="2"/>
      <c r="HK34" s="2"/>
      <c r="HL34" s="2"/>
      <c r="HM34" s="2"/>
      <c r="HN34" s="2"/>
      <c r="HO34" s="2"/>
      <c r="HP34" s="2"/>
      <c r="HQ34" s="2"/>
      <c r="HR34" s="2"/>
      <c r="HS34" s="2"/>
      <c r="HT34" s="2"/>
      <c r="HU34" s="2"/>
      <c r="HV34" s="2"/>
      <c r="HW34" s="2"/>
      <c r="HX34" s="2"/>
      <c r="HY34" s="2"/>
      <c r="HZ34" s="2"/>
      <c r="IA34" s="2"/>
      <c r="IB34" s="2"/>
      <c r="IC34" s="2"/>
      <c r="ID34" s="2"/>
      <c r="IE34" s="2"/>
      <c r="IF34" s="2"/>
      <c r="IG34" s="2"/>
      <c r="IH34" s="2"/>
      <c r="II34" s="2"/>
      <c r="IJ34" s="2"/>
      <c r="IK34" s="2"/>
      <c r="IL34" s="2"/>
      <c r="IM34" s="2"/>
      <c r="IN34" s="2"/>
      <c r="IO34" s="2"/>
      <c r="IP34" s="2"/>
      <c r="IQ34" s="2"/>
      <c r="IR34" s="2"/>
      <c r="IS34" s="2"/>
      <c r="IT34" s="2"/>
      <c r="IU34" s="2"/>
      <c r="IV34" s="2"/>
    </row>
    <row r="35" spans="1:256" ht="36.75" customHeight="1">
      <c r="A35" s="529" t="s">
        <v>107</v>
      </c>
      <c r="B35" s="530"/>
      <c r="C35" s="26">
        <v>63</v>
      </c>
      <c r="D35" s="41">
        <v>78</v>
      </c>
      <c r="E35" s="277">
        <f t="shared" si="5"/>
        <v>23.809523809523814</v>
      </c>
      <c r="F35" s="26">
        <v>249</v>
      </c>
      <c r="G35" s="27">
        <v>449</v>
      </c>
      <c r="H35" s="277">
        <f t="shared" si="6"/>
        <v>80.321285140562253</v>
      </c>
      <c r="I35" s="26">
        <f t="shared" si="7"/>
        <v>312</v>
      </c>
      <c r="J35" s="26">
        <f t="shared" si="8"/>
        <v>527</v>
      </c>
      <c r="K35" s="281">
        <f t="shared" si="9"/>
        <v>68.910256410256409</v>
      </c>
      <c r="L35" s="8"/>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c r="CM35" s="2"/>
      <c r="CN35" s="2"/>
      <c r="CO35" s="2"/>
      <c r="CP35" s="2"/>
      <c r="CQ35" s="2"/>
      <c r="CR35" s="2"/>
      <c r="CS35" s="2"/>
      <c r="CT35" s="2"/>
      <c r="CU35" s="2"/>
      <c r="CV35" s="2"/>
      <c r="CW35" s="2"/>
      <c r="CX35" s="2"/>
      <c r="CY35" s="2"/>
      <c r="CZ35" s="2"/>
      <c r="DA35" s="2"/>
      <c r="DB35" s="2"/>
      <c r="DC35" s="2"/>
      <c r="DD35" s="2"/>
      <c r="DE35" s="2"/>
      <c r="DF35" s="2"/>
      <c r="DG35" s="2"/>
      <c r="DH35" s="2"/>
      <c r="DI35" s="2"/>
      <c r="DJ35" s="2"/>
      <c r="DK35" s="2"/>
      <c r="DL35" s="2"/>
      <c r="DM35" s="2"/>
      <c r="DN35" s="2"/>
      <c r="DO35" s="2"/>
      <c r="DP35" s="2"/>
      <c r="DQ35" s="2"/>
      <c r="DR35" s="2"/>
      <c r="DS35" s="2"/>
      <c r="DT35" s="2"/>
      <c r="DU35" s="2"/>
      <c r="DV35" s="2"/>
      <c r="DW35" s="2"/>
      <c r="DX35" s="2"/>
      <c r="DY35" s="2"/>
      <c r="DZ35" s="2"/>
      <c r="EA35" s="2"/>
      <c r="EB35" s="2"/>
      <c r="EC35" s="2"/>
      <c r="ED35" s="2"/>
      <c r="EE35" s="2"/>
      <c r="EF35" s="2"/>
      <c r="EG35" s="2"/>
      <c r="EH35" s="2"/>
      <c r="EI35" s="2"/>
      <c r="EJ35" s="2"/>
      <c r="EK35" s="2"/>
      <c r="EL35" s="2"/>
      <c r="EM35" s="2"/>
      <c r="EN35" s="2"/>
      <c r="EO35" s="2"/>
      <c r="EP35" s="2"/>
      <c r="EQ35" s="2"/>
      <c r="ER35" s="2"/>
      <c r="ES35" s="2"/>
      <c r="ET35" s="2"/>
      <c r="EU35" s="2"/>
      <c r="EV35" s="2"/>
      <c r="EW35" s="2"/>
      <c r="EX35" s="2"/>
      <c r="EY35" s="2"/>
      <c r="EZ35" s="2"/>
      <c r="FA35" s="2"/>
      <c r="FB35" s="2"/>
      <c r="FC35" s="2"/>
      <c r="FD35" s="2"/>
      <c r="FE35" s="2"/>
      <c r="FF35" s="2"/>
      <c r="FG35" s="2"/>
      <c r="FH35" s="2"/>
      <c r="FI35" s="2"/>
      <c r="FJ35" s="2"/>
      <c r="FK35" s="2"/>
      <c r="FL35" s="2"/>
      <c r="FM35" s="2"/>
      <c r="FN35" s="2"/>
      <c r="FO35" s="2"/>
      <c r="FP35" s="2"/>
      <c r="FQ35" s="2"/>
      <c r="FR35" s="2"/>
      <c r="FS35" s="2"/>
      <c r="FT35" s="2"/>
      <c r="FU35" s="2"/>
      <c r="FV35" s="2"/>
      <c r="FW35" s="2"/>
      <c r="FX35" s="2"/>
      <c r="FY35" s="2"/>
      <c r="FZ35" s="2"/>
      <c r="GA35" s="2"/>
      <c r="GB35" s="2"/>
      <c r="GC35" s="2"/>
      <c r="GD35" s="2"/>
      <c r="GE35" s="2"/>
      <c r="GF35" s="2"/>
      <c r="GG35" s="2"/>
      <c r="GH35" s="2"/>
      <c r="GI35" s="2"/>
      <c r="GJ35" s="2"/>
      <c r="GK35" s="2"/>
      <c r="GL35" s="2"/>
      <c r="GM35" s="2"/>
      <c r="GN35" s="2"/>
      <c r="GO35" s="2"/>
      <c r="GP35" s="2"/>
      <c r="GQ35" s="2"/>
      <c r="GR35" s="2"/>
      <c r="GS35" s="2"/>
      <c r="GT35" s="2"/>
      <c r="GU35" s="2"/>
      <c r="GV35" s="2"/>
      <c r="GW35" s="2"/>
      <c r="GX35" s="2"/>
      <c r="GY35" s="2"/>
      <c r="GZ35" s="2"/>
      <c r="HA35" s="2"/>
      <c r="HB35" s="2"/>
      <c r="HC35" s="2"/>
      <c r="HD35" s="2"/>
      <c r="HE35" s="2"/>
      <c r="HF35" s="2"/>
      <c r="HG35" s="2"/>
      <c r="HH35" s="2"/>
      <c r="HI35" s="2"/>
      <c r="HJ35" s="2"/>
      <c r="HK35" s="2"/>
      <c r="HL35" s="2"/>
      <c r="HM35" s="2"/>
      <c r="HN35" s="2"/>
      <c r="HO35" s="2"/>
      <c r="HP35" s="2"/>
      <c r="HQ35" s="2"/>
      <c r="HR35" s="2"/>
      <c r="HS35" s="2"/>
      <c r="HT35" s="2"/>
      <c r="HU35" s="2"/>
      <c r="HV35" s="2"/>
      <c r="HW35" s="2"/>
      <c r="HX35" s="2"/>
      <c r="HY35" s="2"/>
      <c r="HZ35" s="2"/>
      <c r="IA35" s="2"/>
      <c r="IB35" s="2"/>
      <c r="IC35" s="2"/>
      <c r="ID35" s="2"/>
      <c r="IE35" s="2"/>
      <c r="IF35" s="2"/>
      <c r="IG35" s="2"/>
      <c r="IH35" s="2"/>
      <c r="II35" s="2"/>
      <c r="IJ35" s="2"/>
      <c r="IK35" s="2"/>
      <c r="IL35" s="2"/>
      <c r="IM35" s="2"/>
      <c r="IN35" s="2"/>
      <c r="IO35" s="2"/>
      <c r="IP35" s="2"/>
      <c r="IQ35" s="2"/>
      <c r="IR35" s="2"/>
      <c r="IS35" s="2"/>
      <c r="IT35" s="2"/>
      <c r="IU35" s="2"/>
      <c r="IV35" s="2"/>
    </row>
    <row r="36" spans="1:256" ht="11.85" customHeight="1">
      <c r="A36" s="406" t="s">
        <v>120</v>
      </c>
      <c r="B36" s="407"/>
      <c r="C36" s="41">
        <v>28</v>
      </c>
      <c r="D36" s="41">
        <v>27</v>
      </c>
      <c r="E36" s="277">
        <f t="shared" si="5"/>
        <v>-3.5714285714285698</v>
      </c>
      <c r="F36" s="41">
        <v>12</v>
      </c>
      <c r="G36" s="27">
        <v>16</v>
      </c>
      <c r="H36" s="277">
        <f t="shared" si="6"/>
        <v>33.333333333333329</v>
      </c>
      <c r="I36" s="41">
        <f t="shared" si="7"/>
        <v>40</v>
      </c>
      <c r="J36" s="26">
        <f t="shared" si="8"/>
        <v>43</v>
      </c>
      <c r="K36" s="681">
        <f t="shared" si="9"/>
        <v>7.4999999999999956</v>
      </c>
      <c r="L36" s="68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c r="CP36" s="2"/>
      <c r="CQ36" s="2"/>
      <c r="CR36" s="2"/>
      <c r="CS36" s="2"/>
      <c r="CT36" s="2"/>
      <c r="CU36" s="2"/>
      <c r="CV36" s="2"/>
      <c r="CW36" s="2"/>
      <c r="CX36" s="2"/>
      <c r="CY36" s="2"/>
      <c r="CZ36" s="2"/>
      <c r="DA36" s="2"/>
      <c r="DB36" s="2"/>
      <c r="DC36" s="2"/>
      <c r="DD36" s="2"/>
      <c r="DE36" s="2"/>
      <c r="DF36" s="2"/>
      <c r="DG36" s="2"/>
      <c r="DH36" s="2"/>
      <c r="DI36" s="2"/>
      <c r="DJ36" s="2"/>
      <c r="DK36" s="2"/>
      <c r="DL36" s="2"/>
      <c r="DM36" s="2"/>
      <c r="DN36" s="2"/>
      <c r="DO36" s="2"/>
      <c r="DP36" s="2"/>
      <c r="DQ36" s="2"/>
      <c r="DR36" s="2"/>
      <c r="DS36" s="2"/>
      <c r="DT36" s="2"/>
      <c r="DU36" s="2"/>
      <c r="DV36" s="2"/>
      <c r="DW36" s="2"/>
      <c r="DX36" s="2"/>
      <c r="DY36" s="2"/>
      <c r="DZ36" s="2"/>
      <c r="EA36" s="2"/>
      <c r="EB36" s="2"/>
      <c r="EC36" s="2"/>
      <c r="ED36" s="2"/>
      <c r="EE36" s="2"/>
      <c r="EF36" s="2"/>
      <c r="EG36" s="2"/>
      <c r="EH36" s="2"/>
      <c r="EI36" s="2"/>
      <c r="EJ36" s="2"/>
      <c r="EK36" s="2"/>
      <c r="EL36" s="2"/>
      <c r="EM36" s="2"/>
      <c r="EN36" s="2"/>
      <c r="EO36" s="2"/>
      <c r="EP36" s="2"/>
      <c r="EQ36" s="2"/>
      <c r="ER36" s="2"/>
      <c r="ES36" s="2"/>
      <c r="ET36" s="2"/>
      <c r="EU36" s="2"/>
      <c r="EV36" s="2"/>
      <c r="EW36" s="2"/>
      <c r="EX36" s="2"/>
      <c r="EY36" s="2"/>
      <c r="EZ36" s="2"/>
      <c r="FA36" s="2"/>
      <c r="FB36" s="2"/>
      <c r="FC36" s="2"/>
      <c r="FD36" s="2"/>
      <c r="FE36" s="2"/>
      <c r="FF36" s="2"/>
      <c r="FG36" s="2"/>
      <c r="FH36" s="2"/>
      <c r="FI36" s="2"/>
      <c r="FJ36" s="2"/>
      <c r="FK36" s="2"/>
      <c r="FL36" s="2"/>
      <c r="FM36" s="2"/>
      <c r="FN36" s="2"/>
      <c r="FO36" s="2"/>
      <c r="FP36" s="2"/>
      <c r="FQ36" s="2"/>
      <c r="FR36" s="2"/>
      <c r="FS36" s="2"/>
      <c r="FT36" s="2"/>
      <c r="FU36" s="2"/>
      <c r="FV36" s="2"/>
      <c r="FW36" s="2"/>
      <c r="FX36" s="2"/>
      <c r="FY36" s="2"/>
      <c r="FZ36" s="2"/>
      <c r="GA36" s="2"/>
      <c r="GB36" s="2"/>
      <c r="GC36" s="2"/>
      <c r="GD36" s="2"/>
      <c r="GE36" s="2"/>
      <c r="GF36" s="2"/>
      <c r="GG36" s="2"/>
      <c r="GH36" s="2"/>
      <c r="GI36" s="2"/>
      <c r="GJ36" s="2"/>
      <c r="GK36" s="2"/>
      <c r="GL36" s="2"/>
      <c r="GM36" s="2"/>
      <c r="GN36" s="2"/>
      <c r="GO36" s="2"/>
      <c r="GP36" s="2"/>
      <c r="GQ36" s="2"/>
      <c r="GR36" s="2"/>
      <c r="GS36" s="2"/>
      <c r="GT36" s="2"/>
      <c r="GU36" s="2"/>
      <c r="GV36" s="2"/>
      <c r="GW36" s="2"/>
      <c r="GX36" s="2"/>
      <c r="GY36" s="2"/>
      <c r="GZ36" s="2"/>
      <c r="HA36" s="2"/>
      <c r="HB36" s="2"/>
      <c r="HC36" s="2"/>
      <c r="HD36" s="2"/>
      <c r="HE36" s="2"/>
      <c r="HF36" s="2"/>
      <c r="HG36" s="2"/>
      <c r="HH36" s="2"/>
      <c r="HI36" s="2"/>
      <c r="HJ36" s="2"/>
      <c r="HK36" s="2"/>
      <c r="HL36" s="2"/>
      <c r="HM36" s="2"/>
      <c r="HN36" s="2"/>
      <c r="HO36" s="2"/>
      <c r="HP36" s="2"/>
      <c r="HQ36" s="2"/>
      <c r="HR36" s="2"/>
      <c r="HS36" s="2"/>
      <c r="HT36" s="2"/>
      <c r="HU36" s="2"/>
      <c r="HV36" s="2"/>
      <c r="HW36" s="2"/>
      <c r="HX36" s="2"/>
      <c r="HY36" s="2"/>
      <c r="HZ36" s="2"/>
      <c r="IA36" s="2"/>
      <c r="IB36" s="2"/>
      <c r="IC36" s="2"/>
      <c r="ID36" s="2"/>
      <c r="IE36" s="2"/>
      <c r="IF36" s="2"/>
      <c r="IG36" s="2"/>
      <c r="IH36" s="2"/>
      <c r="II36" s="2"/>
      <c r="IJ36" s="2"/>
      <c r="IK36" s="2"/>
      <c r="IL36" s="2"/>
      <c r="IM36" s="2"/>
      <c r="IN36" s="2"/>
      <c r="IO36" s="2"/>
      <c r="IP36" s="2"/>
      <c r="IQ36" s="2"/>
      <c r="IR36" s="2"/>
      <c r="IS36" s="2"/>
      <c r="IT36" s="2"/>
      <c r="IU36" s="2"/>
      <c r="IV36" s="2"/>
    </row>
    <row r="37" spans="1:256" ht="11.85" customHeight="1">
      <c r="A37" s="24" t="s">
        <v>25</v>
      </c>
      <c r="B37" s="28"/>
      <c r="C37" s="26">
        <v>153</v>
      </c>
      <c r="D37" s="41">
        <v>159</v>
      </c>
      <c r="E37" s="277">
        <f t="shared" si="5"/>
        <v>3.9215686274509887</v>
      </c>
      <c r="F37" s="26">
        <v>76</v>
      </c>
      <c r="G37" s="27">
        <v>106</v>
      </c>
      <c r="H37" s="277">
        <f t="shared" si="6"/>
        <v>39.473684210526308</v>
      </c>
      <c r="I37" s="26">
        <f t="shared" si="7"/>
        <v>229</v>
      </c>
      <c r="J37" s="26">
        <f t="shared" si="8"/>
        <v>265</v>
      </c>
      <c r="K37" s="281">
        <f t="shared" si="9"/>
        <v>15.720524017467241</v>
      </c>
      <c r="L37" s="8"/>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c r="CS37" s="2"/>
      <c r="CT37" s="2"/>
      <c r="CU37" s="2"/>
      <c r="CV37" s="2"/>
      <c r="CW37" s="2"/>
      <c r="CX37" s="2"/>
      <c r="CY37" s="2"/>
      <c r="CZ37" s="2"/>
      <c r="DA37" s="2"/>
      <c r="DB37" s="2"/>
      <c r="DC37" s="2"/>
      <c r="DD37" s="2"/>
      <c r="DE37" s="2"/>
      <c r="DF37" s="2"/>
      <c r="DG37" s="2"/>
      <c r="DH37" s="2"/>
      <c r="DI37" s="2"/>
      <c r="DJ37" s="2"/>
      <c r="DK37" s="2"/>
      <c r="DL37" s="2"/>
      <c r="DM37" s="2"/>
      <c r="DN37" s="2"/>
      <c r="DO37" s="2"/>
      <c r="DP37" s="2"/>
      <c r="DQ37" s="2"/>
      <c r="DR37" s="2"/>
      <c r="DS37" s="2"/>
      <c r="DT37" s="2"/>
      <c r="DU37" s="2"/>
      <c r="DV37" s="2"/>
      <c r="DW37" s="2"/>
      <c r="DX37" s="2"/>
      <c r="DY37" s="2"/>
      <c r="DZ37" s="2"/>
      <c r="EA37" s="2"/>
      <c r="EB37" s="2"/>
      <c r="EC37" s="2"/>
      <c r="ED37" s="2"/>
      <c r="EE37" s="2"/>
      <c r="EF37" s="2"/>
      <c r="EG37" s="2"/>
      <c r="EH37" s="2"/>
      <c r="EI37" s="2"/>
      <c r="EJ37" s="2"/>
      <c r="EK37" s="2"/>
      <c r="EL37" s="2"/>
      <c r="EM37" s="2"/>
      <c r="EN37" s="2"/>
      <c r="EO37" s="2"/>
      <c r="EP37" s="2"/>
      <c r="EQ37" s="2"/>
      <c r="ER37" s="2"/>
      <c r="ES37" s="2"/>
      <c r="ET37" s="2"/>
      <c r="EU37" s="2"/>
      <c r="EV37" s="2"/>
      <c r="EW37" s="2"/>
      <c r="EX37" s="2"/>
      <c r="EY37" s="2"/>
      <c r="EZ37" s="2"/>
      <c r="FA37" s="2"/>
      <c r="FB37" s="2"/>
      <c r="FC37" s="2"/>
      <c r="FD37" s="2"/>
      <c r="FE37" s="2"/>
      <c r="FF37" s="2"/>
      <c r="FG37" s="2"/>
      <c r="FH37" s="2"/>
      <c r="FI37" s="2"/>
      <c r="FJ37" s="2"/>
      <c r="FK37" s="2"/>
      <c r="FL37" s="2"/>
      <c r="FM37" s="2"/>
      <c r="FN37" s="2"/>
      <c r="FO37" s="2"/>
      <c r="FP37" s="2"/>
      <c r="FQ37" s="2"/>
      <c r="FR37" s="2"/>
      <c r="FS37" s="2"/>
      <c r="FT37" s="2"/>
      <c r="FU37" s="2"/>
      <c r="FV37" s="2"/>
      <c r="FW37" s="2"/>
      <c r="FX37" s="2"/>
      <c r="FY37" s="2"/>
      <c r="FZ37" s="2"/>
      <c r="GA37" s="2"/>
      <c r="GB37" s="2"/>
      <c r="GC37" s="2"/>
      <c r="GD37" s="2"/>
      <c r="GE37" s="2"/>
      <c r="GF37" s="2"/>
      <c r="GG37" s="2"/>
      <c r="GH37" s="2"/>
      <c r="GI37" s="2"/>
      <c r="GJ37" s="2"/>
      <c r="GK37" s="2"/>
      <c r="GL37" s="2"/>
      <c r="GM37" s="2"/>
      <c r="GN37" s="2"/>
      <c r="GO37" s="2"/>
      <c r="GP37" s="2"/>
      <c r="GQ37" s="2"/>
      <c r="GR37" s="2"/>
      <c r="GS37" s="2"/>
      <c r="GT37" s="2"/>
      <c r="GU37" s="2"/>
      <c r="GV37" s="2"/>
      <c r="GW37" s="2"/>
      <c r="GX37" s="2"/>
      <c r="GY37" s="2"/>
      <c r="GZ37" s="2"/>
      <c r="HA37" s="2"/>
      <c r="HB37" s="2"/>
      <c r="HC37" s="2"/>
      <c r="HD37" s="2"/>
      <c r="HE37" s="2"/>
      <c r="HF37" s="2"/>
      <c r="HG37" s="2"/>
      <c r="HH37" s="2"/>
      <c r="HI37" s="2"/>
      <c r="HJ37" s="2"/>
      <c r="HK37" s="2"/>
      <c r="HL37" s="2"/>
      <c r="HM37" s="2"/>
      <c r="HN37" s="2"/>
      <c r="HO37" s="2"/>
      <c r="HP37" s="2"/>
      <c r="HQ37" s="2"/>
      <c r="HR37" s="2"/>
      <c r="HS37" s="2"/>
      <c r="HT37" s="2"/>
      <c r="HU37" s="2"/>
      <c r="HV37" s="2"/>
      <c r="HW37" s="2"/>
      <c r="HX37" s="2"/>
      <c r="HY37" s="2"/>
      <c r="HZ37" s="2"/>
      <c r="IA37" s="2"/>
      <c r="IB37" s="2"/>
      <c r="IC37" s="2"/>
      <c r="ID37" s="2"/>
      <c r="IE37" s="2"/>
      <c r="IF37" s="2"/>
      <c r="IG37" s="2"/>
      <c r="IH37" s="2"/>
      <c r="II37" s="2"/>
      <c r="IJ37" s="2"/>
      <c r="IK37" s="2"/>
      <c r="IL37" s="2"/>
      <c r="IM37" s="2"/>
      <c r="IN37" s="2"/>
      <c r="IO37" s="2"/>
      <c r="IP37" s="2"/>
      <c r="IQ37" s="2"/>
      <c r="IR37" s="2"/>
      <c r="IS37" s="2"/>
      <c r="IT37" s="2"/>
      <c r="IU37" s="2"/>
      <c r="IV37" s="2"/>
    </row>
    <row r="38" spans="1:256" ht="11.85" customHeight="1">
      <c r="A38" s="24" t="s">
        <v>26</v>
      </c>
      <c r="B38" s="28"/>
      <c r="C38" s="41">
        <v>18</v>
      </c>
      <c r="D38" s="41">
        <v>17</v>
      </c>
      <c r="E38" s="277">
        <f t="shared" si="5"/>
        <v>-5.555555555555558</v>
      </c>
      <c r="F38" s="26">
        <v>335</v>
      </c>
      <c r="G38" s="27">
        <v>141</v>
      </c>
      <c r="H38" s="277">
        <f t="shared" si="6"/>
        <v>-57.910447761194028</v>
      </c>
      <c r="I38" s="41">
        <f t="shared" si="7"/>
        <v>353</v>
      </c>
      <c r="J38" s="41">
        <f t="shared" si="8"/>
        <v>158</v>
      </c>
      <c r="K38" s="281">
        <f t="shared" si="9"/>
        <v>-55.240793201133144</v>
      </c>
      <c r="L38" s="8"/>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c r="CS38" s="2"/>
      <c r="CT38" s="2"/>
      <c r="CU38" s="2"/>
      <c r="CV38" s="2"/>
      <c r="CW38" s="2"/>
      <c r="CX38" s="2"/>
      <c r="CY38" s="2"/>
      <c r="CZ38" s="2"/>
      <c r="DA38" s="2"/>
      <c r="DB38" s="2"/>
      <c r="DC38" s="2"/>
      <c r="DD38" s="2"/>
      <c r="DE38" s="2"/>
      <c r="DF38" s="2"/>
      <c r="DG38" s="2"/>
      <c r="DH38" s="2"/>
      <c r="DI38" s="2"/>
      <c r="DJ38" s="2"/>
      <c r="DK38" s="2"/>
      <c r="DL38" s="2"/>
      <c r="DM38" s="2"/>
      <c r="DN38" s="2"/>
      <c r="DO38" s="2"/>
      <c r="DP38" s="2"/>
      <c r="DQ38" s="2"/>
      <c r="DR38" s="2"/>
      <c r="DS38" s="2"/>
      <c r="DT38" s="2"/>
      <c r="DU38" s="2"/>
      <c r="DV38" s="2"/>
      <c r="DW38" s="2"/>
      <c r="DX38" s="2"/>
      <c r="DY38" s="2"/>
      <c r="DZ38" s="2"/>
      <c r="EA38" s="2"/>
      <c r="EB38" s="2"/>
      <c r="EC38" s="2"/>
      <c r="ED38" s="2"/>
      <c r="EE38" s="2"/>
      <c r="EF38" s="2"/>
      <c r="EG38" s="2"/>
      <c r="EH38" s="2"/>
      <c r="EI38" s="2"/>
      <c r="EJ38" s="2"/>
      <c r="EK38" s="2"/>
      <c r="EL38" s="2"/>
      <c r="EM38" s="2"/>
      <c r="EN38" s="2"/>
      <c r="EO38" s="2"/>
      <c r="EP38" s="2"/>
      <c r="EQ38" s="2"/>
      <c r="ER38" s="2"/>
      <c r="ES38" s="2"/>
      <c r="ET38" s="2"/>
      <c r="EU38" s="2"/>
      <c r="EV38" s="2"/>
      <c r="EW38" s="2"/>
      <c r="EX38" s="2"/>
      <c r="EY38" s="2"/>
      <c r="EZ38" s="2"/>
      <c r="FA38" s="2"/>
      <c r="FB38" s="2"/>
      <c r="FC38" s="2"/>
      <c r="FD38" s="2"/>
      <c r="FE38" s="2"/>
      <c r="FF38" s="2"/>
      <c r="FG38" s="2"/>
      <c r="FH38" s="2"/>
      <c r="FI38" s="2"/>
      <c r="FJ38" s="2"/>
      <c r="FK38" s="2"/>
      <c r="FL38" s="2"/>
      <c r="FM38" s="2"/>
      <c r="FN38" s="2"/>
      <c r="FO38" s="2"/>
      <c r="FP38" s="2"/>
      <c r="FQ38" s="2"/>
      <c r="FR38" s="2"/>
      <c r="FS38" s="2"/>
      <c r="FT38" s="2"/>
      <c r="FU38" s="2"/>
      <c r="FV38" s="2"/>
      <c r="FW38" s="2"/>
      <c r="FX38" s="2"/>
      <c r="FY38" s="2"/>
      <c r="FZ38" s="2"/>
      <c r="GA38" s="2"/>
      <c r="GB38" s="2"/>
      <c r="GC38" s="2"/>
      <c r="GD38" s="2"/>
      <c r="GE38" s="2"/>
      <c r="GF38" s="2"/>
      <c r="GG38" s="2"/>
      <c r="GH38" s="2"/>
      <c r="GI38" s="2"/>
      <c r="GJ38" s="2"/>
      <c r="GK38" s="2"/>
      <c r="GL38" s="2"/>
      <c r="GM38" s="2"/>
      <c r="GN38" s="2"/>
      <c r="GO38" s="2"/>
      <c r="GP38" s="2"/>
      <c r="GQ38" s="2"/>
      <c r="GR38" s="2"/>
      <c r="GS38" s="2"/>
      <c r="GT38" s="2"/>
      <c r="GU38" s="2"/>
      <c r="GV38" s="2"/>
      <c r="GW38" s="2"/>
      <c r="GX38" s="2"/>
      <c r="GY38" s="2"/>
      <c r="GZ38" s="2"/>
      <c r="HA38" s="2"/>
      <c r="HB38" s="2"/>
      <c r="HC38" s="2"/>
      <c r="HD38" s="2"/>
      <c r="HE38" s="2"/>
      <c r="HF38" s="2"/>
      <c r="HG38" s="2"/>
      <c r="HH38" s="2"/>
      <c r="HI38" s="2"/>
      <c r="HJ38" s="2"/>
      <c r="HK38" s="2"/>
      <c r="HL38" s="2"/>
      <c r="HM38" s="2"/>
      <c r="HN38" s="2"/>
      <c r="HO38" s="2"/>
      <c r="HP38" s="2"/>
      <c r="HQ38" s="2"/>
      <c r="HR38" s="2"/>
      <c r="HS38" s="2"/>
      <c r="HT38" s="2"/>
      <c r="HU38" s="2"/>
      <c r="HV38" s="2"/>
      <c r="HW38" s="2"/>
      <c r="HX38" s="2"/>
      <c r="HY38" s="2"/>
      <c r="HZ38" s="2"/>
      <c r="IA38" s="2"/>
      <c r="IB38" s="2"/>
      <c r="IC38" s="2"/>
      <c r="ID38" s="2"/>
      <c r="IE38" s="2"/>
      <c r="IF38" s="2"/>
      <c r="IG38" s="2"/>
      <c r="IH38" s="2"/>
      <c r="II38" s="2"/>
      <c r="IJ38" s="2"/>
      <c r="IK38" s="2"/>
      <c r="IL38" s="2"/>
      <c r="IM38" s="2"/>
      <c r="IN38" s="2"/>
      <c r="IO38" s="2"/>
      <c r="IP38" s="2"/>
      <c r="IQ38" s="2"/>
      <c r="IR38" s="2"/>
      <c r="IS38" s="2"/>
      <c r="IT38" s="2"/>
      <c r="IU38" s="2"/>
      <c r="IV38" s="2"/>
    </row>
    <row r="39" spans="1:256" ht="11.85" customHeight="1">
      <c r="A39" s="24" t="s">
        <v>27</v>
      </c>
      <c r="B39" s="28"/>
      <c r="C39" s="26">
        <v>159</v>
      </c>
      <c r="D39" s="41">
        <v>104</v>
      </c>
      <c r="E39" s="277">
        <f t="shared" si="5"/>
        <v>-34.591194968553459</v>
      </c>
      <c r="F39" s="26">
        <v>2636</v>
      </c>
      <c r="G39" s="27">
        <v>1756</v>
      </c>
      <c r="H39" s="277">
        <f t="shared" si="6"/>
        <v>-33.383915022761755</v>
      </c>
      <c r="I39" s="26">
        <f t="shared" si="7"/>
        <v>2795</v>
      </c>
      <c r="J39" s="26">
        <f t="shared" si="8"/>
        <v>1860</v>
      </c>
      <c r="K39" s="281">
        <f t="shared" si="9"/>
        <v>-33.452593917710196</v>
      </c>
      <c r="L39" s="9"/>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c r="CY39" s="2"/>
      <c r="CZ39" s="2"/>
      <c r="DA39" s="2"/>
      <c r="DB39" s="2"/>
      <c r="DC39" s="2"/>
      <c r="DD39" s="2"/>
      <c r="DE39" s="2"/>
      <c r="DF39" s="2"/>
      <c r="DG39" s="2"/>
      <c r="DH39" s="2"/>
      <c r="DI39" s="2"/>
      <c r="DJ39" s="2"/>
      <c r="DK39" s="2"/>
      <c r="DL39" s="2"/>
      <c r="DM39" s="2"/>
      <c r="DN39" s="2"/>
      <c r="DO39" s="2"/>
      <c r="DP39" s="2"/>
      <c r="DQ39" s="2"/>
      <c r="DR39" s="2"/>
      <c r="DS39" s="2"/>
      <c r="DT39" s="2"/>
      <c r="DU39" s="2"/>
      <c r="DV39" s="2"/>
      <c r="DW39" s="2"/>
      <c r="DX39" s="2"/>
      <c r="DY39" s="2"/>
      <c r="DZ39" s="2"/>
      <c r="EA39" s="2"/>
      <c r="EB39" s="2"/>
      <c r="EC39" s="2"/>
      <c r="ED39" s="2"/>
      <c r="EE39" s="2"/>
      <c r="EF39" s="2"/>
      <c r="EG39" s="2"/>
      <c r="EH39" s="2"/>
      <c r="EI39" s="2"/>
      <c r="EJ39" s="2"/>
      <c r="EK39" s="2"/>
      <c r="EL39" s="2"/>
      <c r="EM39" s="2"/>
      <c r="EN39" s="2"/>
      <c r="EO39" s="2"/>
      <c r="EP39" s="2"/>
      <c r="EQ39" s="2"/>
      <c r="ER39" s="2"/>
      <c r="ES39" s="2"/>
      <c r="ET39" s="2"/>
      <c r="EU39" s="2"/>
      <c r="EV39" s="2"/>
      <c r="EW39" s="2"/>
      <c r="EX39" s="2"/>
      <c r="EY39" s="2"/>
      <c r="EZ39" s="2"/>
      <c r="FA39" s="2"/>
      <c r="FB39" s="2"/>
      <c r="FC39" s="2"/>
      <c r="FD39" s="2"/>
      <c r="FE39" s="2"/>
      <c r="FF39" s="2"/>
      <c r="FG39" s="2"/>
      <c r="FH39" s="2"/>
      <c r="FI39" s="2"/>
      <c r="FJ39" s="2"/>
      <c r="FK39" s="2"/>
      <c r="FL39" s="2"/>
      <c r="FM39" s="2"/>
      <c r="FN39" s="2"/>
      <c r="FO39" s="2"/>
      <c r="FP39" s="2"/>
      <c r="FQ39" s="2"/>
      <c r="FR39" s="2"/>
      <c r="FS39" s="2"/>
      <c r="FT39" s="2"/>
      <c r="FU39" s="2"/>
      <c r="FV39" s="2"/>
      <c r="FW39" s="2"/>
      <c r="FX39" s="2"/>
      <c r="FY39" s="2"/>
      <c r="FZ39" s="2"/>
      <c r="GA39" s="2"/>
      <c r="GB39" s="2"/>
      <c r="GC39" s="2"/>
      <c r="GD39" s="2"/>
      <c r="GE39" s="2"/>
      <c r="GF39" s="2"/>
      <c r="GG39" s="2"/>
      <c r="GH39" s="2"/>
      <c r="GI39" s="2"/>
      <c r="GJ39" s="2"/>
      <c r="GK39" s="2"/>
      <c r="GL39" s="2"/>
      <c r="GM39" s="2"/>
      <c r="GN39" s="2"/>
      <c r="GO39" s="2"/>
      <c r="GP39" s="2"/>
      <c r="GQ39" s="2"/>
      <c r="GR39" s="2"/>
      <c r="GS39" s="2"/>
      <c r="GT39" s="2"/>
      <c r="GU39" s="2"/>
      <c r="GV39" s="2"/>
      <c r="GW39" s="2"/>
      <c r="GX39" s="2"/>
      <c r="GY39" s="2"/>
      <c r="GZ39" s="2"/>
      <c r="HA39" s="2"/>
      <c r="HB39" s="2"/>
      <c r="HC39" s="2"/>
      <c r="HD39" s="2"/>
      <c r="HE39" s="2"/>
      <c r="HF39" s="2"/>
      <c r="HG39" s="2"/>
      <c r="HH39" s="2"/>
      <c r="HI39" s="2"/>
      <c r="HJ39" s="2"/>
      <c r="HK39" s="2"/>
      <c r="HL39" s="2"/>
      <c r="HM39" s="2"/>
      <c r="HN39" s="2"/>
      <c r="HO39" s="2"/>
      <c r="HP39" s="2"/>
      <c r="HQ39" s="2"/>
      <c r="HR39" s="2"/>
      <c r="HS39" s="2"/>
      <c r="HT39" s="2"/>
      <c r="HU39" s="2"/>
      <c r="HV39" s="2"/>
      <c r="HW39" s="2"/>
      <c r="HX39" s="2"/>
      <c r="HY39" s="2"/>
      <c r="HZ39" s="2"/>
      <c r="IA39" s="2"/>
      <c r="IB39" s="2"/>
      <c r="IC39" s="2"/>
      <c r="ID39" s="2"/>
      <c r="IE39" s="2"/>
      <c r="IF39" s="2"/>
      <c r="IG39" s="2"/>
      <c r="IH39" s="2"/>
      <c r="II39" s="2"/>
      <c r="IJ39" s="2"/>
      <c r="IK39" s="2"/>
      <c r="IL39" s="2"/>
      <c r="IM39" s="2"/>
      <c r="IN39" s="2"/>
      <c r="IO39" s="2"/>
      <c r="IP39" s="2"/>
      <c r="IQ39" s="2"/>
      <c r="IR39" s="2"/>
      <c r="IS39" s="2"/>
      <c r="IT39" s="2"/>
      <c r="IU39" s="2"/>
      <c r="IV39" s="2"/>
    </row>
    <row r="40" spans="1:256" ht="11.85" customHeight="1">
      <c r="A40" s="24" t="s">
        <v>28</v>
      </c>
      <c r="B40" s="28"/>
      <c r="C40" s="26">
        <v>67</v>
      </c>
      <c r="D40" s="41">
        <v>33</v>
      </c>
      <c r="E40" s="277">
        <f t="shared" si="5"/>
        <v>-50.746268656716417</v>
      </c>
      <c r="F40" s="26">
        <v>97</v>
      </c>
      <c r="G40" s="27">
        <v>19</v>
      </c>
      <c r="H40" s="277">
        <f t="shared" si="6"/>
        <v>-80.412371134020617</v>
      </c>
      <c r="I40" s="26">
        <f t="shared" si="7"/>
        <v>164</v>
      </c>
      <c r="J40" s="26">
        <f t="shared" si="8"/>
        <v>52</v>
      </c>
      <c r="K40" s="281">
        <f t="shared" si="9"/>
        <v>-68.292682926829258</v>
      </c>
      <c r="L40" s="8"/>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c r="CS40" s="2"/>
      <c r="CT40" s="2"/>
      <c r="CU40" s="2"/>
      <c r="CV40" s="2"/>
      <c r="CW40" s="2"/>
      <c r="CX40" s="2"/>
      <c r="CY40" s="2"/>
      <c r="CZ40" s="2"/>
      <c r="DA40" s="2"/>
      <c r="DB40" s="2"/>
      <c r="DC40" s="2"/>
      <c r="DD40" s="2"/>
      <c r="DE40" s="2"/>
      <c r="DF40" s="2"/>
      <c r="DG40" s="2"/>
      <c r="DH40" s="2"/>
      <c r="DI40" s="2"/>
      <c r="DJ40" s="2"/>
      <c r="DK40" s="2"/>
      <c r="DL40" s="2"/>
      <c r="DM40" s="2"/>
      <c r="DN40" s="2"/>
      <c r="DO40" s="2"/>
      <c r="DP40" s="2"/>
      <c r="DQ40" s="2"/>
      <c r="DR40" s="2"/>
      <c r="DS40" s="2"/>
      <c r="DT40" s="2"/>
      <c r="DU40" s="2"/>
      <c r="DV40" s="2"/>
      <c r="DW40" s="2"/>
      <c r="DX40" s="2"/>
      <c r="DY40" s="2"/>
      <c r="DZ40" s="2"/>
      <c r="EA40" s="2"/>
      <c r="EB40" s="2"/>
      <c r="EC40" s="2"/>
      <c r="ED40" s="2"/>
      <c r="EE40" s="2"/>
      <c r="EF40" s="2"/>
      <c r="EG40" s="2"/>
      <c r="EH40" s="2"/>
      <c r="EI40" s="2"/>
      <c r="EJ40" s="2"/>
      <c r="EK40" s="2"/>
      <c r="EL40" s="2"/>
      <c r="EM40" s="2"/>
      <c r="EN40" s="2"/>
      <c r="EO40" s="2"/>
      <c r="EP40" s="2"/>
      <c r="EQ40" s="2"/>
      <c r="ER40" s="2"/>
      <c r="ES40" s="2"/>
      <c r="ET40" s="2"/>
      <c r="EU40" s="2"/>
      <c r="EV40" s="2"/>
      <c r="EW40" s="2"/>
      <c r="EX40" s="2"/>
      <c r="EY40" s="2"/>
      <c r="EZ40" s="2"/>
      <c r="FA40" s="2"/>
      <c r="FB40" s="2"/>
      <c r="FC40" s="2"/>
      <c r="FD40" s="2"/>
      <c r="FE40" s="2"/>
      <c r="FF40" s="2"/>
      <c r="FG40" s="2"/>
      <c r="FH40" s="2"/>
      <c r="FI40" s="2"/>
      <c r="FJ40" s="2"/>
      <c r="FK40" s="2"/>
      <c r="FL40" s="2"/>
      <c r="FM40" s="2"/>
      <c r="FN40" s="2"/>
      <c r="FO40" s="2"/>
      <c r="FP40" s="2"/>
      <c r="FQ40" s="2"/>
      <c r="FR40" s="2"/>
      <c r="FS40" s="2"/>
      <c r="FT40" s="2"/>
      <c r="FU40" s="2"/>
      <c r="FV40" s="2"/>
      <c r="FW40" s="2"/>
      <c r="FX40" s="2"/>
      <c r="FY40" s="2"/>
      <c r="FZ40" s="2"/>
      <c r="GA40" s="2"/>
      <c r="GB40" s="2"/>
      <c r="GC40" s="2"/>
      <c r="GD40" s="2"/>
      <c r="GE40" s="2"/>
      <c r="GF40" s="2"/>
      <c r="GG40" s="2"/>
      <c r="GH40" s="2"/>
      <c r="GI40" s="2"/>
      <c r="GJ40" s="2"/>
      <c r="GK40" s="2"/>
      <c r="GL40" s="2"/>
      <c r="GM40" s="2"/>
      <c r="GN40" s="2"/>
      <c r="GO40" s="2"/>
      <c r="GP40" s="2"/>
      <c r="GQ40" s="2"/>
      <c r="GR40" s="2"/>
      <c r="GS40" s="2"/>
      <c r="GT40" s="2"/>
      <c r="GU40" s="2"/>
      <c r="GV40" s="2"/>
      <c r="GW40" s="2"/>
      <c r="GX40" s="2"/>
      <c r="GY40" s="2"/>
      <c r="GZ40" s="2"/>
      <c r="HA40" s="2"/>
      <c r="HB40" s="2"/>
      <c r="HC40" s="2"/>
      <c r="HD40" s="2"/>
      <c r="HE40" s="2"/>
      <c r="HF40" s="2"/>
      <c r="HG40" s="2"/>
      <c r="HH40" s="2"/>
      <c r="HI40" s="2"/>
      <c r="HJ40" s="2"/>
      <c r="HK40" s="2"/>
      <c r="HL40" s="2"/>
      <c r="HM40" s="2"/>
      <c r="HN40" s="2"/>
      <c r="HO40" s="2"/>
      <c r="HP40" s="2"/>
      <c r="HQ40" s="2"/>
      <c r="HR40" s="2"/>
      <c r="HS40" s="2"/>
      <c r="HT40" s="2"/>
      <c r="HU40" s="2"/>
      <c r="HV40" s="2"/>
      <c r="HW40" s="2"/>
      <c r="HX40" s="2"/>
      <c r="HY40" s="2"/>
      <c r="HZ40" s="2"/>
      <c r="IA40" s="2"/>
      <c r="IB40" s="2"/>
      <c r="IC40" s="2"/>
      <c r="ID40" s="2"/>
      <c r="IE40" s="2"/>
      <c r="IF40" s="2"/>
      <c r="IG40" s="2"/>
      <c r="IH40" s="2"/>
      <c r="II40" s="2"/>
      <c r="IJ40" s="2"/>
      <c r="IK40" s="2"/>
      <c r="IL40" s="2"/>
      <c r="IM40" s="2"/>
      <c r="IN40" s="2"/>
      <c r="IO40" s="2"/>
      <c r="IP40" s="2"/>
      <c r="IQ40" s="2"/>
      <c r="IR40" s="2"/>
      <c r="IS40" s="2"/>
      <c r="IT40" s="2"/>
      <c r="IU40" s="2"/>
      <c r="IV40" s="2"/>
    </row>
    <row r="41" spans="1:256" ht="11.85" customHeight="1">
      <c r="A41" s="24" t="s">
        <v>29</v>
      </c>
      <c r="B41" s="28"/>
      <c r="C41" s="41">
        <f>SUM(C42:C43)</f>
        <v>262</v>
      </c>
      <c r="D41" s="41">
        <f>SUM(D42:D43)</f>
        <v>223</v>
      </c>
      <c r="E41" s="277">
        <f t="shared" si="5"/>
        <v>-14.885496183206104</v>
      </c>
      <c r="F41" s="26">
        <f>SUM(F42:F43)</f>
        <v>812</v>
      </c>
      <c r="G41" s="27">
        <f>SUM(G42:G43)</f>
        <v>170</v>
      </c>
      <c r="H41" s="277">
        <f t="shared" si="6"/>
        <v>-79.064039408866989</v>
      </c>
      <c r="I41" s="26">
        <f t="shared" si="7"/>
        <v>1074</v>
      </c>
      <c r="J41" s="26">
        <f t="shared" si="8"/>
        <v>393</v>
      </c>
      <c r="K41" s="281">
        <f t="shared" si="9"/>
        <v>-63.407821229050285</v>
      </c>
      <c r="L41" s="8"/>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2"/>
      <c r="CV41" s="2"/>
      <c r="CW41" s="2"/>
      <c r="CX41" s="2"/>
      <c r="CY41" s="2"/>
      <c r="CZ41" s="2"/>
      <c r="DA41" s="2"/>
      <c r="DB41" s="2"/>
      <c r="DC41" s="2"/>
      <c r="DD41" s="2"/>
      <c r="DE41" s="2"/>
      <c r="DF41" s="2"/>
      <c r="DG41" s="2"/>
      <c r="DH41" s="2"/>
      <c r="DI41" s="2"/>
      <c r="DJ41" s="2"/>
      <c r="DK41" s="2"/>
      <c r="DL41" s="2"/>
      <c r="DM41" s="2"/>
      <c r="DN41" s="2"/>
      <c r="DO41" s="2"/>
      <c r="DP41" s="2"/>
      <c r="DQ41" s="2"/>
      <c r="DR41" s="2"/>
      <c r="DS41" s="2"/>
      <c r="DT41" s="2"/>
      <c r="DU41" s="2"/>
      <c r="DV41" s="2"/>
      <c r="DW41" s="2"/>
      <c r="DX41" s="2"/>
      <c r="DY41" s="2"/>
      <c r="DZ41" s="2"/>
      <c r="EA41" s="2"/>
      <c r="EB41" s="2"/>
      <c r="EC41" s="2"/>
      <c r="ED41" s="2"/>
      <c r="EE41" s="2"/>
      <c r="EF41" s="2"/>
      <c r="EG41" s="2"/>
      <c r="EH41" s="2"/>
      <c r="EI41" s="2"/>
      <c r="EJ41" s="2"/>
      <c r="EK41" s="2"/>
      <c r="EL41" s="2"/>
      <c r="EM41" s="2"/>
      <c r="EN41" s="2"/>
      <c r="EO41" s="2"/>
      <c r="EP41" s="2"/>
      <c r="EQ41" s="2"/>
      <c r="ER41" s="2"/>
      <c r="ES41" s="2"/>
      <c r="ET41" s="2"/>
      <c r="EU41" s="2"/>
      <c r="EV41" s="2"/>
      <c r="EW41" s="2"/>
      <c r="EX41" s="2"/>
      <c r="EY41" s="2"/>
      <c r="EZ41" s="2"/>
      <c r="FA41" s="2"/>
      <c r="FB41" s="2"/>
      <c r="FC41" s="2"/>
      <c r="FD41" s="2"/>
      <c r="FE41" s="2"/>
      <c r="FF41" s="2"/>
      <c r="FG41" s="2"/>
      <c r="FH41" s="2"/>
      <c r="FI41" s="2"/>
      <c r="FJ41" s="2"/>
      <c r="FK41" s="2"/>
      <c r="FL41" s="2"/>
      <c r="FM41" s="2"/>
      <c r="FN41" s="2"/>
      <c r="FO41" s="2"/>
      <c r="FP41" s="2"/>
      <c r="FQ41" s="2"/>
      <c r="FR41" s="2"/>
      <c r="FS41" s="2"/>
      <c r="FT41" s="2"/>
      <c r="FU41" s="2"/>
      <c r="FV41" s="2"/>
      <c r="FW41" s="2"/>
      <c r="FX41" s="2"/>
      <c r="FY41" s="2"/>
      <c r="FZ41" s="2"/>
      <c r="GA41" s="2"/>
      <c r="GB41" s="2"/>
      <c r="GC41" s="2"/>
      <c r="GD41" s="2"/>
      <c r="GE41" s="2"/>
      <c r="GF41" s="2"/>
      <c r="GG41" s="2"/>
      <c r="GH41" s="2"/>
      <c r="GI41" s="2"/>
      <c r="GJ41" s="2"/>
      <c r="GK41" s="2"/>
      <c r="GL41" s="2"/>
      <c r="GM41" s="2"/>
      <c r="GN41" s="2"/>
      <c r="GO41" s="2"/>
      <c r="GP41" s="2"/>
      <c r="GQ41" s="2"/>
      <c r="GR41" s="2"/>
      <c r="GS41" s="2"/>
      <c r="GT41" s="2"/>
      <c r="GU41" s="2"/>
      <c r="GV41" s="2"/>
      <c r="GW41" s="2"/>
      <c r="GX41" s="2"/>
      <c r="GY41" s="2"/>
      <c r="GZ41" s="2"/>
      <c r="HA41" s="2"/>
      <c r="HB41" s="2"/>
      <c r="HC41" s="2"/>
      <c r="HD41" s="2"/>
      <c r="HE41" s="2"/>
      <c r="HF41" s="2"/>
      <c r="HG41" s="2"/>
      <c r="HH41" s="2"/>
      <c r="HI41" s="2"/>
      <c r="HJ41" s="2"/>
      <c r="HK41" s="2"/>
      <c r="HL41" s="2"/>
      <c r="HM41" s="2"/>
      <c r="HN41" s="2"/>
      <c r="HO41" s="2"/>
      <c r="HP41" s="2"/>
      <c r="HQ41" s="2"/>
      <c r="HR41" s="2"/>
      <c r="HS41" s="2"/>
      <c r="HT41" s="2"/>
      <c r="HU41" s="2"/>
      <c r="HV41" s="2"/>
      <c r="HW41" s="2"/>
      <c r="HX41" s="2"/>
      <c r="HY41" s="2"/>
      <c r="HZ41" s="2"/>
      <c r="IA41" s="2"/>
      <c r="IB41" s="2"/>
      <c r="IC41" s="2"/>
      <c r="ID41" s="2"/>
      <c r="IE41" s="2"/>
      <c r="IF41" s="2"/>
      <c r="IG41" s="2"/>
      <c r="IH41" s="2"/>
      <c r="II41" s="2"/>
      <c r="IJ41" s="2"/>
      <c r="IK41" s="2"/>
      <c r="IL41" s="2"/>
      <c r="IM41" s="2"/>
      <c r="IN41" s="2"/>
      <c r="IO41" s="2"/>
      <c r="IP41" s="2"/>
      <c r="IQ41" s="2"/>
      <c r="IR41" s="2"/>
      <c r="IS41" s="2"/>
      <c r="IT41" s="2"/>
      <c r="IU41" s="2"/>
      <c r="IV41" s="2"/>
    </row>
    <row r="42" spans="1:256" ht="11.85" customHeight="1">
      <c r="A42" s="24" t="s">
        <v>30</v>
      </c>
      <c r="B42" s="28"/>
      <c r="C42" s="42">
        <v>59</v>
      </c>
      <c r="D42" s="41">
        <v>17</v>
      </c>
      <c r="E42" s="277">
        <f t="shared" si="5"/>
        <v>-71.186440677966104</v>
      </c>
      <c r="F42" s="26">
        <v>248</v>
      </c>
      <c r="G42" s="27">
        <v>11</v>
      </c>
      <c r="H42" s="277">
        <f t="shared" si="6"/>
        <v>-95.564516129032256</v>
      </c>
      <c r="I42" s="42">
        <f t="shared" si="7"/>
        <v>307</v>
      </c>
      <c r="J42" s="26">
        <f t="shared" si="8"/>
        <v>28</v>
      </c>
      <c r="K42" s="281">
        <f t="shared" si="9"/>
        <v>-90.879478827361567</v>
      </c>
      <c r="L42" s="8"/>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c r="CP42" s="2"/>
      <c r="CQ42" s="2"/>
      <c r="CR42" s="2"/>
      <c r="CS42" s="2"/>
      <c r="CT42" s="2"/>
      <c r="CU42" s="2"/>
      <c r="CV42" s="2"/>
      <c r="CW42" s="2"/>
      <c r="CX42" s="2"/>
      <c r="CY42" s="2"/>
      <c r="CZ42" s="2"/>
      <c r="DA42" s="2"/>
      <c r="DB42" s="2"/>
      <c r="DC42" s="2"/>
      <c r="DD42" s="2"/>
      <c r="DE42" s="2"/>
      <c r="DF42" s="2"/>
      <c r="DG42" s="2"/>
      <c r="DH42" s="2"/>
      <c r="DI42" s="2"/>
      <c r="DJ42" s="2"/>
      <c r="DK42" s="2"/>
      <c r="DL42" s="2"/>
      <c r="DM42" s="2"/>
      <c r="DN42" s="2"/>
      <c r="DO42" s="2"/>
      <c r="DP42" s="2"/>
      <c r="DQ42" s="2"/>
      <c r="DR42" s="2"/>
      <c r="DS42" s="2"/>
      <c r="DT42" s="2"/>
      <c r="DU42" s="2"/>
      <c r="DV42" s="2"/>
      <c r="DW42" s="2"/>
      <c r="DX42" s="2"/>
      <c r="DY42" s="2"/>
      <c r="DZ42" s="2"/>
      <c r="EA42" s="2"/>
      <c r="EB42" s="2"/>
      <c r="EC42" s="2"/>
      <c r="ED42" s="2"/>
      <c r="EE42" s="2"/>
      <c r="EF42" s="2"/>
      <c r="EG42" s="2"/>
      <c r="EH42" s="2"/>
      <c r="EI42" s="2"/>
      <c r="EJ42" s="2"/>
      <c r="EK42" s="2"/>
      <c r="EL42" s="2"/>
      <c r="EM42" s="2"/>
      <c r="EN42" s="2"/>
      <c r="EO42" s="2"/>
      <c r="EP42" s="2"/>
      <c r="EQ42" s="2"/>
      <c r="ER42" s="2"/>
      <c r="ES42" s="2"/>
      <c r="ET42" s="2"/>
      <c r="EU42" s="2"/>
      <c r="EV42" s="2"/>
      <c r="EW42" s="2"/>
      <c r="EX42" s="2"/>
      <c r="EY42" s="2"/>
      <c r="EZ42" s="2"/>
      <c r="FA42" s="2"/>
      <c r="FB42" s="2"/>
      <c r="FC42" s="2"/>
      <c r="FD42" s="2"/>
      <c r="FE42" s="2"/>
      <c r="FF42" s="2"/>
      <c r="FG42" s="2"/>
      <c r="FH42" s="2"/>
      <c r="FI42" s="2"/>
      <c r="FJ42" s="2"/>
      <c r="FK42" s="2"/>
      <c r="FL42" s="2"/>
      <c r="FM42" s="2"/>
      <c r="FN42" s="2"/>
      <c r="FO42" s="2"/>
      <c r="FP42" s="2"/>
      <c r="FQ42" s="2"/>
      <c r="FR42" s="2"/>
      <c r="FS42" s="2"/>
      <c r="FT42" s="2"/>
      <c r="FU42" s="2"/>
      <c r="FV42" s="2"/>
      <c r="FW42" s="2"/>
      <c r="FX42" s="2"/>
      <c r="FY42" s="2"/>
      <c r="FZ42" s="2"/>
      <c r="GA42" s="2"/>
      <c r="GB42" s="2"/>
      <c r="GC42" s="2"/>
      <c r="GD42" s="2"/>
      <c r="GE42" s="2"/>
      <c r="GF42" s="2"/>
      <c r="GG42" s="2"/>
      <c r="GH42" s="2"/>
      <c r="GI42" s="2"/>
      <c r="GJ42" s="2"/>
      <c r="GK42" s="2"/>
      <c r="GL42" s="2"/>
      <c r="GM42" s="2"/>
      <c r="GN42" s="2"/>
      <c r="GO42" s="2"/>
      <c r="GP42" s="2"/>
      <c r="GQ42" s="2"/>
      <c r="GR42" s="2"/>
      <c r="GS42" s="2"/>
      <c r="GT42" s="2"/>
      <c r="GU42" s="2"/>
      <c r="GV42" s="2"/>
      <c r="GW42" s="2"/>
      <c r="GX42" s="2"/>
      <c r="GY42" s="2"/>
      <c r="GZ42" s="2"/>
      <c r="HA42" s="2"/>
      <c r="HB42" s="2"/>
      <c r="HC42" s="2"/>
      <c r="HD42" s="2"/>
      <c r="HE42" s="2"/>
      <c r="HF42" s="2"/>
      <c r="HG42" s="2"/>
      <c r="HH42" s="2"/>
      <c r="HI42" s="2"/>
      <c r="HJ42" s="2"/>
      <c r="HK42" s="2"/>
      <c r="HL42" s="2"/>
      <c r="HM42" s="2"/>
      <c r="HN42" s="2"/>
      <c r="HO42" s="2"/>
      <c r="HP42" s="2"/>
      <c r="HQ42" s="2"/>
      <c r="HR42" s="2"/>
      <c r="HS42" s="2"/>
      <c r="HT42" s="2"/>
      <c r="HU42" s="2"/>
      <c r="HV42" s="2"/>
      <c r="HW42" s="2"/>
      <c r="HX42" s="2"/>
      <c r="HY42" s="2"/>
      <c r="HZ42" s="2"/>
      <c r="IA42" s="2"/>
      <c r="IB42" s="2"/>
      <c r="IC42" s="2"/>
      <c r="ID42" s="2"/>
      <c r="IE42" s="2"/>
      <c r="IF42" s="2"/>
      <c r="IG42" s="2"/>
      <c r="IH42" s="2"/>
      <c r="II42" s="2"/>
      <c r="IJ42" s="2"/>
      <c r="IK42" s="2"/>
      <c r="IL42" s="2"/>
      <c r="IM42" s="2"/>
      <c r="IN42" s="2"/>
      <c r="IO42" s="2"/>
      <c r="IP42" s="2"/>
      <c r="IQ42" s="2"/>
      <c r="IR42" s="2"/>
      <c r="IS42" s="2"/>
      <c r="IT42" s="2"/>
      <c r="IU42" s="2"/>
      <c r="IV42" s="2"/>
    </row>
    <row r="43" spans="1:256" ht="11.85" customHeight="1">
      <c r="A43" s="24" t="s">
        <v>31</v>
      </c>
      <c r="B43" s="28"/>
      <c r="C43" s="26">
        <v>203</v>
      </c>
      <c r="D43" s="41">
        <v>206</v>
      </c>
      <c r="E43" s="277">
        <f t="shared" si="5"/>
        <v>1.4778325123152802</v>
      </c>
      <c r="F43" s="26">
        <v>564</v>
      </c>
      <c r="G43" s="27">
        <v>159</v>
      </c>
      <c r="H43" s="277">
        <f t="shared" si="6"/>
        <v>-71.808510638297875</v>
      </c>
      <c r="I43" s="26">
        <f t="shared" si="7"/>
        <v>767</v>
      </c>
      <c r="J43" s="26">
        <f t="shared" si="8"/>
        <v>365</v>
      </c>
      <c r="K43" s="281">
        <f t="shared" si="9"/>
        <v>-52.41199478487615</v>
      </c>
      <c r="L43" s="8"/>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F43" s="2"/>
      <c r="CG43" s="2"/>
      <c r="CH43" s="2"/>
      <c r="CI43" s="2"/>
      <c r="CJ43" s="2"/>
      <c r="CK43" s="2"/>
      <c r="CL43" s="2"/>
      <c r="CM43" s="2"/>
      <c r="CN43" s="2"/>
      <c r="CO43" s="2"/>
      <c r="CP43" s="2"/>
      <c r="CQ43" s="2"/>
      <c r="CR43" s="2"/>
      <c r="CS43" s="2"/>
      <c r="CT43" s="2"/>
      <c r="CU43" s="2"/>
      <c r="CV43" s="2"/>
      <c r="CW43" s="2"/>
      <c r="CX43" s="2"/>
      <c r="CY43" s="2"/>
      <c r="CZ43" s="2"/>
      <c r="DA43" s="2"/>
      <c r="DB43" s="2"/>
      <c r="DC43" s="2"/>
      <c r="DD43" s="2"/>
      <c r="DE43" s="2"/>
      <c r="DF43" s="2"/>
      <c r="DG43" s="2"/>
      <c r="DH43" s="2"/>
      <c r="DI43" s="2"/>
      <c r="DJ43" s="2"/>
      <c r="DK43" s="2"/>
      <c r="DL43" s="2"/>
      <c r="DM43" s="2"/>
      <c r="DN43" s="2"/>
      <c r="DO43" s="2"/>
      <c r="DP43" s="2"/>
      <c r="DQ43" s="2"/>
      <c r="DR43" s="2"/>
      <c r="DS43" s="2"/>
      <c r="DT43" s="2"/>
      <c r="DU43" s="2"/>
      <c r="DV43" s="2"/>
      <c r="DW43" s="2"/>
      <c r="DX43" s="2"/>
      <c r="DY43" s="2"/>
      <c r="DZ43" s="2"/>
      <c r="EA43" s="2"/>
      <c r="EB43" s="2"/>
      <c r="EC43" s="2"/>
      <c r="ED43" s="2"/>
      <c r="EE43" s="2"/>
      <c r="EF43" s="2"/>
      <c r="EG43" s="2"/>
      <c r="EH43" s="2"/>
      <c r="EI43" s="2"/>
      <c r="EJ43" s="2"/>
      <c r="EK43" s="2"/>
      <c r="EL43" s="2"/>
      <c r="EM43" s="2"/>
      <c r="EN43" s="2"/>
      <c r="EO43" s="2"/>
      <c r="EP43" s="2"/>
      <c r="EQ43" s="2"/>
      <c r="ER43" s="2"/>
      <c r="ES43" s="2"/>
      <c r="ET43" s="2"/>
      <c r="EU43" s="2"/>
      <c r="EV43" s="2"/>
      <c r="EW43" s="2"/>
      <c r="EX43" s="2"/>
      <c r="EY43" s="2"/>
      <c r="EZ43" s="2"/>
      <c r="FA43" s="2"/>
      <c r="FB43" s="2"/>
      <c r="FC43" s="2"/>
      <c r="FD43" s="2"/>
      <c r="FE43" s="2"/>
      <c r="FF43" s="2"/>
      <c r="FG43" s="2"/>
      <c r="FH43" s="2"/>
      <c r="FI43" s="2"/>
      <c r="FJ43" s="2"/>
      <c r="FK43" s="2"/>
      <c r="FL43" s="2"/>
      <c r="FM43" s="2"/>
      <c r="FN43" s="2"/>
      <c r="FO43" s="2"/>
      <c r="FP43" s="2"/>
      <c r="FQ43" s="2"/>
      <c r="FR43" s="2"/>
      <c r="FS43" s="2"/>
      <c r="FT43" s="2"/>
      <c r="FU43" s="2"/>
      <c r="FV43" s="2"/>
      <c r="FW43" s="2"/>
      <c r="FX43" s="2"/>
      <c r="FY43" s="2"/>
      <c r="FZ43" s="2"/>
      <c r="GA43" s="2"/>
      <c r="GB43" s="2"/>
      <c r="GC43" s="2"/>
      <c r="GD43" s="2"/>
      <c r="GE43" s="2"/>
      <c r="GF43" s="2"/>
      <c r="GG43" s="2"/>
      <c r="GH43" s="2"/>
      <c r="GI43" s="2"/>
      <c r="GJ43" s="2"/>
      <c r="GK43" s="2"/>
      <c r="GL43" s="2"/>
      <c r="GM43" s="2"/>
      <c r="GN43" s="2"/>
      <c r="GO43" s="2"/>
      <c r="GP43" s="2"/>
      <c r="GQ43" s="2"/>
      <c r="GR43" s="2"/>
      <c r="GS43" s="2"/>
      <c r="GT43" s="2"/>
      <c r="GU43" s="2"/>
      <c r="GV43" s="2"/>
      <c r="GW43" s="2"/>
      <c r="GX43" s="2"/>
      <c r="GY43" s="2"/>
      <c r="GZ43" s="2"/>
      <c r="HA43" s="2"/>
      <c r="HB43" s="2"/>
      <c r="HC43" s="2"/>
      <c r="HD43" s="2"/>
      <c r="HE43" s="2"/>
      <c r="HF43" s="2"/>
      <c r="HG43" s="2"/>
      <c r="HH43" s="2"/>
      <c r="HI43" s="2"/>
      <c r="HJ43" s="2"/>
      <c r="HK43" s="2"/>
      <c r="HL43" s="2"/>
      <c r="HM43" s="2"/>
      <c r="HN43" s="2"/>
      <c r="HO43" s="2"/>
      <c r="HP43" s="2"/>
      <c r="HQ43" s="2"/>
      <c r="HR43" s="2"/>
      <c r="HS43" s="2"/>
      <c r="HT43" s="2"/>
      <c r="HU43" s="2"/>
      <c r="HV43" s="2"/>
      <c r="HW43" s="2"/>
      <c r="HX43" s="2"/>
      <c r="HY43" s="2"/>
      <c r="HZ43" s="2"/>
      <c r="IA43" s="2"/>
      <c r="IB43" s="2"/>
      <c r="IC43" s="2"/>
      <c r="ID43" s="2"/>
      <c r="IE43" s="2"/>
      <c r="IF43" s="2"/>
      <c r="IG43" s="2"/>
      <c r="IH43" s="2"/>
      <c r="II43" s="2"/>
      <c r="IJ43" s="2"/>
      <c r="IK43" s="2"/>
      <c r="IL43" s="2"/>
      <c r="IM43" s="2"/>
      <c r="IN43" s="2"/>
      <c r="IO43" s="2"/>
      <c r="IP43" s="2"/>
      <c r="IQ43" s="2"/>
      <c r="IR43" s="2"/>
      <c r="IS43" s="2"/>
      <c r="IT43" s="2"/>
      <c r="IU43" s="2"/>
      <c r="IV43" s="2"/>
    </row>
    <row r="44" spans="1:256" ht="11.85" customHeight="1">
      <c r="A44" s="24" t="s">
        <v>32</v>
      </c>
      <c r="B44" s="28"/>
      <c r="C44" s="41">
        <v>25</v>
      </c>
      <c r="D44" s="41">
        <v>39</v>
      </c>
      <c r="E44" s="277">
        <f t="shared" si="5"/>
        <v>56.000000000000007</v>
      </c>
      <c r="F44" s="26">
        <v>0</v>
      </c>
      <c r="G44" s="27">
        <v>0</v>
      </c>
      <c r="H44" s="277" t="str">
        <f t="shared" si="6"/>
        <v>-</v>
      </c>
      <c r="I44" s="41">
        <f t="shared" si="7"/>
        <v>25</v>
      </c>
      <c r="J44" s="41">
        <f t="shared" si="8"/>
        <v>39</v>
      </c>
      <c r="K44" s="281">
        <f t="shared" si="9"/>
        <v>56.000000000000007</v>
      </c>
      <c r="L44" s="8"/>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c r="CL44" s="2"/>
      <c r="CM44" s="2"/>
      <c r="CN44" s="2"/>
      <c r="CO44" s="2"/>
      <c r="CP44" s="2"/>
      <c r="CQ44" s="2"/>
      <c r="CR44" s="2"/>
      <c r="CS44" s="2"/>
      <c r="CT44" s="2"/>
      <c r="CU44" s="2"/>
      <c r="CV44" s="2"/>
      <c r="CW44" s="2"/>
      <c r="CX44" s="2"/>
      <c r="CY44" s="2"/>
      <c r="CZ44" s="2"/>
      <c r="DA44" s="2"/>
      <c r="DB44" s="2"/>
      <c r="DC44" s="2"/>
      <c r="DD44" s="2"/>
      <c r="DE44" s="2"/>
      <c r="DF44" s="2"/>
      <c r="DG44" s="2"/>
      <c r="DH44" s="2"/>
      <c r="DI44" s="2"/>
      <c r="DJ44" s="2"/>
      <c r="DK44" s="2"/>
      <c r="DL44" s="2"/>
      <c r="DM44" s="2"/>
      <c r="DN44" s="2"/>
      <c r="DO44" s="2"/>
      <c r="DP44" s="2"/>
      <c r="DQ44" s="2"/>
      <c r="DR44" s="2"/>
      <c r="DS44" s="2"/>
      <c r="DT44" s="2"/>
      <c r="DU44" s="2"/>
      <c r="DV44" s="2"/>
      <c r="DW44" s="2"/>
      <c r="DX44" s="2"/>
      <c r="DY44" s="2"/>
      <c r="DZ44" s="2"/>
      <c r="EA44" s="2"/>
      <c r="EB44" s="2"/>
      <c r="EC44" s="2"/>
      <c r="ED44" s="2"/>
      <c r="EE44" s="2"/>
      <c r="EF44" s="2"/>
      <c r="EG44" s="2"/>
      <c r="EH44" s="2"/>
      <c r="EI44" s="2"/>
      <c r="EJ44" s="2"/>
      <c r="EK44" s="2"/>
      <c r="EL44" s="2"/>
      <c r="EM44" s="2"/>
      <c r="EN44" s="2"/>
      <c r="EO44" s="2"/>
      <c r="EP44" s="2"/>
      <c r="EQ44" s="2"/>
      <c r="ER44" s="2"/>
      <c r="ES44" s="2"/>
      <c r="ET44" s="2"/>
      <c r="EU44" s="2"/>
      <c r="EV44" s="2"/>
      <c r="EW44" s="2"/>
      <c r="EX44" s="2"/>
      <c r="EY44" s="2"/>
      <c r="EZ44" s="2"/>
      <c r="FA44" s="2"/>
      <c r="FB44" s="2"/>
      <c r="FC44" s="2"/>
      <c r="FD44" s="2"/>
      <c r="FE44" s="2"/>
      <c r="FF44" s="2"/>
      <c r="FG44" s="2"/>
      <c r="FH44" s="2"/>
      <c r="FI44" s="2"/>
      <c r="FJ44" s="2"/>
      <c r="FK44" s="2"/>
      <c r="FL44" s="2"/>
      <c r="FM44" s="2"/>
      <c r="FN44" s="2"/>
      <c r="FO44" s="2"/>
      <c r="FP44" s="2"/>
      <c r="FQ44" s="2"/>
      <c r="FR44" s="2"/>
      <c r="FS44" s="2"/>
      <c r="FT44" s="2"/>
      <c r="FU44" s="2"/>
      <c r="FV44" s="2"/>
      <c r="FW44" s="2"/>
      <c r="FX44" s="2"/>
      <c r="FY44" s="2"/>
      <c r="FZ44" s="2"/>
      <c r="GA44" s="2"/>
      <c r="GB44" s="2"/>
      <c r="GC44" s="2"/>
      <c r="GD44" s="2"/>
      <c r="GE44" s="2"/>
      <c r="GF44" s="2"/>
      <c r="GG44" s="2"/>
      <c r="GH44" s="2"/>
      <c r="GI44" s="2"/>
      <c r="GJ44" s="2"/>
      <c r="GK44" s="2"/>
      <c r="GL44" s="2"/>
      <c r="GM44" s="2"/>
      <c r="GN44" s="2"/>
      <c r="GO44" s="2"/>
      <c r="GP44" s="2"/>
      <c r="GQ44" s="2"/>
      <c r="GR44" s="2"/>
      <c r="GS44" s="2"/>
      <c r="GT44" s="2"/>
      <c r="GU44" s="2"/>
      <c r="GV44" s="2"/>
      <c r="GW44" s="2"/>
      <c r="GX44" s="2"/>
      <c r="GY44" s="2"/>
      <c r="GZ44" s="2"/>
      <c r="HA44" s="2"/>
      <c r="HB44" s="2"/>
      <c r="HC44" s="2"/>
      <c r="HD44" s="2"/>
      <c r="HE44" s="2"/>
      <c r="HF44" s="2"/>
      <c r="HG44" s="2"/>
      <c r="HH44" s="2"/>
      <c r="HI44" s="2"/>
      <c r="HJ44" s="2"/>
      <c r="HK44" s="2"/>
      <c r="HL44" s="2"/>
      <c r="HM44" s="2"/>
      <c r="HN44" s="2"/>
      <c r="HO44" s="2"/>
      <c r="HP44" s="2"/>
      <c r="HQ44" s="2"/>
      <c r="HR44" s="2"/>
      <c r="HS44" s="2"/>
      <c r="HT44" s="2"/>
      <c r="HU44" s="2"/>
      <c r="HV44" s="2"/>
      <c r="HW44" s="2"/>
      <c r="HX44" s="2"/>
      <c r="HY44" s="2"/>
      <c r="HZ44" s="2"/>
      <c r="IA44" s="2"/>
      <c r="IB44" s="2"/>
      <c r="IC44" s="2"/>
      <c r="ID44" s="2"/>
      <c r="IE44" s="2"/>
      <c r="IF44" s="2"/>
      <c r="IG44" s="2"/>
      <c r="IH44" s="2"/>
      <c r="II44" s="2"/>
      <c r="IJ44" s="2"/>
      <c r="IK44" s="2"/>
      <c r="IL44" s="2"/>
      <c r="IM44" s="2"/>
      <c r="IN44" s="2"/>
      <c r="IO44" s="2"/>
      <c r="IP44" s="2"/>
      <c r="IQ44" s="2"/>
      <c r="IR44" s="2"/>
      <c r="IS44" s="2"/>
      <c r="IT44" s="2"/>
      <c r="IU44" s="2"/>
      <c r="IV44" s="2"/>
    </row>
    <row r="45" spans="1:256" ht="11.85" customHeight="1">
      <c r="A45" s="24" t="s">
        <v>33</v>
      </c>
      <c r="B45" s="28"/>
      <c r="C45" s="26">
        <v>44</v>
      </c>
      <c r="D45" s="41">
        <v>50</v>
      </c>
      <c r="E45" s="277">
        <f t="shared" si="5"/>
        <v>13.636363636363647</v>
      </c>
      <c r="F45" s="26">
        <v>397</v>
      </c>
      <c r="G45" s="27">
        <v>605</v>
      </c>
      <c r="H45" s="277">
        <f t="shared" si="6"/>
        <v>52.392947103274558</v>
      </c>
      <c r="I45" s="26">
        <f t="shared" si="7"/>
        <v>441</v>
      </c>
      <c r="J45" s="26">
        <f t="shared" si="8"/>
        <v>655</v>
      </c>
      <c r="K45" s="281">
        <f t="shared" si="9"/>
        <v>48.52607709750567</v>
      </c>
      <c r="L45" s="8"/>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c r="CL45" s="2"/>
      <c r="CM45" s="2"/>
      <c r="CN45" s="2"/>
      <c r="CO45" s="2"/>
      <c r="CP45" s="2"/>
      <c r="CQ45" s="2"/>
      <c r="CR45" s="2"/>
      <c r="CS45" s="2"/>
      <c r="CT45" s="2"/>
      <c r="CU45" s="2"/>
      <c r="CV45" s="2"/>
      <c r="CW45" s="2"/>
      <c r="CX45" s="2"/>
      <c r="CY45" s="2"/>
      <c r="CZ45" s="2"/>
      <c r="DA45" s="2"/>
      <c r="DB45" s="2"/>
      <c r="DC45" s="2"/>
      <c r="DD45" s="2"/>
      <c r="DE45" s="2"/>
      <c r="DF45" s="2"/>
      <c r="DG45" s="2"/>
      <c r="DH45" s="2"/>
      <c r="DI45" s="2"/>
      <c r="DJ45" s="2"/>
      <c r="DK45" s="2"/>
      <c r="DL45" s="2"/>
      <c r="DM45" s="2"/>
      <c r="DN45" s="2"/>
      <c r="DO45" s="2"/>
      <c r="DP45" s="2"/>
      <c r="DQ45" s="2"/>
      <c r="DR45" s="2"/>
      <c r="DS45" s="2"/>
      <c r="DT45" s="2"/>
      <c r="DU45" s="2"/>
      <c r="DV45" s="2"/>
      <c r="DW45" s="2"/>
      <c r="DX45" s="2"/>
      <c r="DY45" s="2"/>
      <c r="DZ45" s="2"/>
      <c r="EA45" s="2"/>
      <c r="EB45" s="2"/>
      <c r="EC45" s="2"/>
      <c r="ED45" s="2"/>
      <c r="EE45" s="2"/>
      <c r="EF45" s="2"/>
      <c r="EG45" s="2"/>
      <c r="EH45" s="2"/>
      <c r="EI45" s="2"/>
      <c r="EJ45" s="2"/>
      <c r="EK45" s="2"/>
      <c r="EL45" s="2"/>
      <c r="EM45" s="2"/>
      <c r="EN45" s="2"/>
      <c r="EO45" s="2"/>
      <c r="EP45" s="2"/>
      <c r="EQ45" s="2"/>
      <c r="ER45" s="2"/>
      <c r="ES45" s="2"/>
      <c r="ET45" s="2"/>
      <c r="EU45" s="2"/>
      <c r="EV45" s="2"/>
      <c r="EW45" s="2"/>
      <c r="EX45" s="2"/>
      <c r="EY45" s="2"/>
      <c r="EZ45" s="2"/>
      <c r="FA45" s="2"/>
      <c r="FB45" s="2"/>
      <c r="FC45" s="2"/>
      <c r="FD45" s="2"/>
      <c r="FE45" s="2"/>
      <c r="FF45" s="2"/>
      <c r="FG45" s="2"/>
      <c r="FH45" s="2"/>
      <c r="FI45" s="2"/>
      <c r="FJ45" s="2"/>
      <c r="FK45" s="2"/>
      <c r="FL45" s="2"/>
      <c r="FM45" s="2"/>
      <c r="FN45" s="2"/>
      <c r="FO45" s="2"/>
      <c r="FP45" s="2"/>
      <c r="FQ45" s="2"/>
      <c r="FR45" s="2"/>
      <c r="FS45" s="2"/>
      <c r="FT45" s="2"/>
      <c r="FU45" s="2"/>
      <c r="FV45" s="2"/>
      <c r="FW45" s="2"/>
      <c r="FX45" s="2"/>
      <c r="FY45" s="2"/>
      <c r="FZ45" s="2"/>
      <c r="GA45" s="2"/>
      <c r="GB45" s="2"/>
      <c r="GC45" s="2"/>
      <c r="GD45" s="2"/>
      <c r="GE45" s="2"/>
      <c r="GF45" s="2"/>
      <c r="GG45" s="2"/>
      <c r="GH45" s="2"/>
      <c r="GI45" s="2"/>
      <c r="GJ45" s="2"/>
      <c r="GK45" s="2"/>
      <c r="GL45" s="2"/>
      <c r="GM45" s="2"/>
      <c r="GN45" s="2"/>
      <c r="GO45" s="2"/>
      <c r="GP45" s="2"/>
      <c r="GQ45" s="2"/>
      <c r="GR45" s="2"/>
      <c r="GS45" s="2"/>
      <c r="GT45" s="2"/>
      <c r="GU45" s="2"/>
      <c r="GV45" s="2"/>
      <c r="GW45" s="2"/>
      <c r="GX45" s="2"/>
      <c r="GY45" s="2"/>
      <c r="GZ45" s="2"/>
      <c r="HA45" s="2"/>
      <c r="HB45" s="2"/>
      <c r="HC45" s="2"/>
      <c r="HD45" s="2"/>
      <c r="HE45" s="2"/>
      <c r="HF45" s="2"/>
      <c r="HG45" s="2"/>
      <c r="HH45" s="2"/>
      <c r="HI45" s="2"/>
      <c r="HJ45" s="2"/>
      <c r="HK45" s="2"/>
      <c r="HL45" s="2"/>
      <c r="HM45" s="2"/>
      <c r="HN45" s="2"/>
      <c r="HO45" s="2"/>
      <c r="HP45" s="2"/>
      <c r="HQ45" s="2"/>
      <c r="HR45" s="2"/>
      <c r="HS45" s="2"/>
      <c r="HT45" s="2"/>
      <c r="HU45" s="2"/>
      <c r="HV45" s="2"/>
      <c r="HW45" s="2"/>
      <c r="HX45" s="2"/>
      <c r="HY45" s="2"/>
      <c r="HZ45" s="2"/>
      <c r="IA45" s="2"/>
      <c r="IB45" s="2"/>
      <c r="IC45" s="2"/>
      <c r="ID45" s="2"/>
      <c r="IE45" s="2"/>
      <c r="IF45" s="2"/>
      <c r="IG45" s="2"/>
      <c r="IH45" s="2"/>
      <c r="II45" s="2"/>
      <c r="IJ45" s="2"/>
      <c r="IK45" s="2"/>
      <c r="IL45" s="2"/>
      <c r="IM45" s="2"/>
      <c r="IN45" s="2"/>
      <c r="IO45" s="2"/>
      <c r="IP45" s="2"/>
      <c r="IQ45" s="2"/>
      <c r="IR45" s="2"/>
      <c r="IS45" s="2"/>
      <c r="IT45" s="2"/>
      <c r="IU45" s="2"/>
      <c r="IV45" s="2"/>
    </row>
    <row r="46" spans="1:256" ht="11.85" customHeight="1">
      <c r="A46" s="24" t="s">
        <v>34</v>
      </c>
      <c r="B46" s="28"/>
      <c r="C46" s="26">
        <v>47</v>
      </c>
      <c r="D46" s="41">
        <v>33</v>
      </c>
      <c r="E46" s="277">
        <f t="shared" si="5"/>
        <v>-29.787234042553191</v>
      </c>
      <c r="F46" s="26">
        <v>49</v>
      </c>
      <c r="G46" s="27">
        <v>56</v>
      </c>
      <c r="H46" s="277">
        <f t="shared" si="6"/>
        <v>14.285714285714279</v>
      </c>
      <c r="I46" s="26">
        <f t="shared" si="7"/>
        <v>96</v>
      </c>
      <c r="J46" s="26">
        <f t="shared" si="8"/>
        <v>89</v>
      </c>
      <c r="K46" s="281">
        <f t="shared" si="9"/>
        <v>-7.2916666666666625</v>
      </c>
      <c r="L46" s="8"/>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c r="CO46" s="2"/>
      <c r="CP46" s="2"/>
      <c r="CQ46" s="2"/>
      <c r="CR46" s="2"/>
      <c r="CS46" s="2"/>
      <c r="CT46" s="2"/>
      <c r="CU46" s="2"/>
      <c r="CV46" s="2"/>
      <c r="CW46" s="2"/>
      <c r="CX46" s="2"/>
      <c r="CY46" s="2"/>
      <c r="CZ46" s="2"/>
      <c r="DA46" s="2"/>
      <c r="DB46" s="2"/>
      <c r="DC46" s="2"/>
      <c r="DD46" s="2"/>
      <c r="DE46" s="2"/>
      <c r="DF46" s="2"/>
      <c r="DG46" s="2"/>
      <c r="DH46" s="2"/>
      <c r="DI46" s="2"/>
      <c r="DJ46" s="2"/>
      <c r="DK46" s="2"/>
      <c r="DL46" s="2"/>
      <c r="DM46" s="2"/>
      <c r="DN46" s="2"/>
      <c r="DO46" s="2"/>
      <c r="DP46" s="2"/>
      <c r="DQ46" s="2"/>
      <c r="DR46" s="2"/>
      <c r="DS46" s="2"/>
      <c r="DT46" s="2"/>
      <c r="DU46" s="2"/>
      <c r="DV46" s="2"/>
      <c r="DW46" s="2"/>
      <c r="DX46" s="2"/>
      <c r="DY46" s="2"/>
      <c r="DZ46" s="2"/>
      <c r="EA46" s="2"/>
      <c r="EB46" s="2"/>
      <c r="EC46" s="2"/>
      <c r="ED46" s="2"/>
      <c r="EE46" s="2"/>
      <c r="EF46" s="2"/>
      <c r="EG46" s="2"/>
      <c r="EH46" s="2"/>
      <c r="EI46" s="2"/>
      <c r="EJ46" s="2"/>
      <c r="EK46" s="2"/>
      <c r="EL46" s="2"/>
      <c r="EM46" s="2"/>
      <c r="EN46" s="2"/>
      <c r="EO46" s="2"/>
      <c r="EP46" s="2"/>
      <c r="EQ46" s="2"/>
      <c r="ER46" s="2"/>
      <c r="ES46" s="2"/>
      <c r="ET46" s="2"/>
      <c r="EU46" s="2"/>
      <c r="EV46" s="2"/>
      <c r="EW46" s="2"/>
      <c r="EX46" s="2"/>
      <c r="EY46" s="2"/>
      <c r="EZ46" s="2"/>
      <c r="FA46" s="2"/>
      <c r="FB46" s="2"/>
      <c r="FC46" s="2"/>
      <c r="FD46" s="2"/>
      <c r="FE46" s="2"/>
      <c r="FF46" s="2"/>
      <c r="FG46" s="2"/>
      <c r="FH46" s="2"/>
      <c r="FI46" s="2"/>
      <c r="FJ46" s="2"/>
      <c r="FK46" s="2"/>
      <c r="FL46" s="2"/>
      <c r="FM46" s="2"/>
      <c r="FN46" s="2"/>
      <c r="FO46" s="2"/>
      <c r="FP46" s="2"/>
      <c r="FQ46" s="2"/>
      <c r="FR46" s="2"/>
      <c r="FS46" s="2"/>
      <c r="FT46" s="2"/>
      <c r="FU46" s="2"/>
      <c r="FV46" s="2"/>
      <c r="FW46" s="2"/>
      <c r="FX46" s="2"/>
      <c r="FY46" s="2"/>
      <c r="FZ46" s="2"/>
      <c r="GA46" s="2"/>
      <c r="GB46" s="2"/>
      <c r="GC46" s="2"/>
      <c r="GD46" s="2"/>
      <c r="GE46" s="2"/>
      <c r="GF46" s="2"/>
      <c r="GG46" s="2"/>
      <c r="GH46" s="2"/>
      <c r="GI46" s="2"/>
      <c r="GJ46" s="2"/>
      <c r="GK46" s="2"/>
      <c r="GL46" s="2"/>
      <c r="GM46" s="2"/>
      <c r="GN46" s="2"/>
      <c r="GO46" s="2"/>
      <c r="GP46" s="2"/>
      <c r="GQ46" s="2"/>
      <c r="GR46" s="2"/>
      <c r="GS46" s="2"/>
      <c r="GT46" s="2"/>
      <c r="GU46" s="2"/>
      <c r="GV46" s="2"/>
      <c r="GW46" s="2"/>
      <c r="GX46" s="2"/>
      <c r="GY46" s="2"/>
      <c r="GZ46" s="2"/>
      <c r="HA46" s="2"/>
      <c r="HB46" s="2"/>
      <c r="HC46" s="2"/>
      <c r="HD46" s="2"/>
      <c r="HE46" s="2"/>
      <c r="HF46" s="2"/>
      <c r="HG46" s="2"/>
      <c r="HH46" s="2"/>
      <c r="HI46" s="2"/>
      <c r="HJ46" s="2"/>
      <c r="HK46" s="2"/>
      <c r="HL46" s="2"/>
      <c r="HM46" s="2"/>
      <c r="HN46" s="2"/>
      <c r="HO46" s="2"/>
      <c r="HP46" s="2"/>
      <c r="HQ46" s="2"/>
      <c r="HR46" s="2"/>
      <c r="HS46" s="2"/>
      <c r="HT46" s="2"/>
      <c r="HU46" s="2"/>
      <c r="HV46" s="2"/>
      <c r="HW46" s="2"/>
      <c r="HX46" s="2"/>
      <c r="HY46" s="2"/>
      <c r="HZ46" s="2"/>
      <c r="IA46" s="2"/>
      <c r="IB46" s="2"/>
      <c r="IC46" s="2"/>
      <c r="ID46" s="2"/>
      <c r="IE46" s="2"/>
      <c r="IF46" s="2"/>
      <c r="IG46" s="2"/>
      <c r="IH46" s="2"/>
      <c r="II46" s="2"/>
      <c r="IJ46" s="2"/>
      <c r="IK46" s="2"/>
      <c r="IL46" s="2"/>
      <c r="IM46" s="2"/>
      <c r="IN46" s="2"/>
      <c r="IO46" s="2"/>
      <c r="IP46" s="2"/>
      <c r="IQ46" s="2"/>
      <c r="IR46" s="2"/>
      <c r="IS46" s="2"/>
      <c r="IT46" s="2"/>
      <c r="IU46" s="2"/>
      <c r="IV46" s="2"/>
    </row>
    <row r="47" spans="1:256" ht="11.85" customHeight="1">
      <c r="A47" s="24" t="s">
        <v>35</v>
      </c>
      <c r="B47" s="28"/>
      <c r="C47" s="26">
        <v>22</v>
      </c>
      <c r="D47" s="41">
        <v>10</v>
      </c>
      <c r="E47" s="277">
        <f t="shared" si="5"/>
        <v>-54.54545454545454</v>
      </c>
      <c r="F47" s="26">
        <v>64</v>
      </c>
      <c r="G47" s="27">
        <v>30</v>
      </c>
      <c r="H47" s="277">
        <f t="shared" si="6"/>
        <v>-53.125</v>
      </c>
      <c r="I47" s="26">
        <f t="shared" si="7"/>
        <v>86</v>
      </c>
      <c r="J47" s="26">
        <f t="shared" si="8"/>
        <v>40</v>
      </c>
      <c r="K47" s="281">
        <f t="shared" si="9"/>
        <v>-53.488372093023258</v>
      </c>
      <c r="L47" s="8"/>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c r="CA47" s="2"/>
      <c r="CB47" s="2"/>
      <c r="CC47" s="2"/>
      <c r="CD47" s="2"/>
      <c r="CE47" s="2"/>
      <c r="CF47" s="2"/>
      <c r="CG47" s="2"/>
      <c r="CH47" s="2"/>
      <c r="CI47" s="2"/>
      <c r="CJ47" s="2"/>
      <c r="CK47" s="2"/>
      <c r="CL47" s="2"/>
      <c r="CM47" s="2"/>
      <c r="CN47" s="2"/>
      <c r="CO47" s="2"/>
      <c r="CP47" s="2"/>
      <c r="CQ47" s="2"/>
      <c r="CR47" s="2"/>
      <c r="CS47" s="2"/>
      <c r="CT47" s="2"/>
      <c r="CU47" s="2"/>
      <c r="CV47" s="2"/>
      <c r="CW47" s="2"/>
      <c r="CX47" s="2"/>
      <c r="CY47" s="2"/>
      <c r="CZ47" s="2"/>
      <c r="DA47" s="2"/>
      <c r="DB47" s="2"/>
      <c r="DC47" s="2"/>
      <c r="DD47" s="2"/>
      <c r="DE47" s="2"/>
      <c r="DF47" s="2"/>
      <c r="DG47" s="2"/>
      <c r="DH47" s="2"/>
      <c r="DI47" s="2"/>
      <c r="DJ47" s="2"/>
      <c r="DK47" s="2"/>
      <c r="DL47" s="2"/>
      <c r="DM47" s="2"/>
      <c r="DN47" s="2"/>
      <c r="DO47" s="2"/>
      <c r="DP47" s="2"/>
      <c r="DQ47" s="2"/>
      <c r="DR47" s="2"/>
      <c r="DS47" s="2"/>
      <c r="DT47" s="2"/>
      <c r="DU47" s="2"/>
      <c r="DV47" s="2"/>
      <c r="DW47" s="2"/>
      <c r="DX47" s="2"/>
      <c r="DY47" s="2"/>
      <c r="DZ47" s="2"/>
      <c r="EA47" s="2"/>
      <c r="EB47" s="2"/>
      <c r="EC47" s="2"/>
      <c r="ED47" s="2"/>
      <c r="EE47" s="2"/>
      <c r="EF47" s="2"/>
      <c r="EG47" s="2"/>
      <c r="EH47" s="2"/>
      <c r="EI47" s="2"/>
      <c r="EJ47" s="2"/>
      <c r="EK47" s="2"/>
      <c r="EL47" s="2"/>
      <c r="EM47" s="2"/>
      <c r="EN47" s="2"/>
      <c r="EO47" s="2"/>
      <c r="EP47" s="2"/>
      <c r="EQ47" s="2"/>
      <c r="ER47" s="2"/>
      <c r="ES47" s="2"/>
      <c r="ET47" s="2"/>
      <c r="EU47" s="2"/>
      <c r="EV47" s="2"/>
      <c r="EW47" s="2"/>
      <c r="EX47" s="2"/>
      <c r="EY47" s="2"/>
      <c r="EZ47" s="2"/>
      <c r="FA47" s="2"/>
      <c r="FB47" s="2"/>
      <c r="FC47" s="2"/>
      <c r="FD47" s="2"/>
      <c r="FE47" s="2"/>
      <c r="FF47" s="2"/>
      <c r="FG47" s="2"/>
      <c r="FH47" s="2"/>
      <c r="FI47" s="2"/>
      <c r="FJ47" s="2"/>
      <c r="FK47" s="2"/>
      <c r="FL47" s="2"/>
      <c r="FM47" s="2"/>
      <c r="FN47" s="2"/>
      <c r="FO47" s="2"/>
      <c r="FP47" s="2"/>
      <c r="FQ47" s="2"/>
      <c r="FR47" s="2"/>
      <c r="FS47" s="2"/>
      <c r="FT47" s="2"/>
      <c r="FU47" s="2"/>
      <c r="FV47" s="2"/>
      <c r="FW47" s="2"/>
      <c r="FX47" s="2"/>
      <c r="FY47" s="2"/>
      <c r="FZ47" s="2"/>
      <c r="GA47" s="2"/>
      <c r="GB47" s="2"/>
      <c r="GC47" s="2"/>
      <c r="GD47" s="2"/>
      <c r="GE47" s="2"/>
      <c r="GF47" s="2"/>
      <c r="GG47" s="2"/>
      <c r="GH47" s="2"/>
      <c r="GI47" s="2"/>
      <c r="GJ47" s="2"/>
      <c r="GK47" s="2"/>
      <c r="GL47" s="2"/>
      <c r="GM47" s="2"/>
      <c r="GN47" s="2"/>
      <c r="GO47" s="2"/>
      <c r="GP47" s="2"/>
      <c r="GQ47" s="2"/>
      <c r="GR47" s="2"/>
      <c r="GS47" s="2"/>
      <c r="GT47" s="2"/>
      <c r="GU47" s="2"/>
      <c r="GV47" s="2"/>
      <c r="GW47" s="2"/>
      <c r="GX47" s="2"/>
      <c r="GY47" s="2"/>
      <c r="GZ47" s="2"/>
      <c r="HA47" s="2"/>
      <c r="HB47" s="2"/>
      <c r="HC47" s="2"/>
      <c r="HD47" s="2"/>
      <c r="HE47" s="2"/>
      <c r="HF47" s="2"/>
      <c r="HG47" s="2"/>
      <c r="HH47" s="2"/>
      <c r="HI47" s="2"/>
      <c r="HJ47" s="2"/>
      <c r="HK47" s="2"/>
      <c r="HL47" s="2"/>
      <c r="HM47" s="2"/>
      <c r="HN47" s="2"/>
      <c r="HO47" s="2"/>
      <c r="HP47" s="2"/>
      <c r="HQ47" s="2"/>
      <c r="HR47" s="2"/>
      <c r="HS47" s="2"/>
      <c r="HT47" s="2"/>
      <c r="HU47" s="2"/>
      <c r="HV47" s="2"/>
      <c r="HW47" s="2"/>
      <c r="HX47" s="2"/>
      <c r="HY47" s="2"/>
      <c r="HZ47" s="2"/>
      <c r="IA47" s="2"/>
      <c r="IB47" s="2"/>
      <c r="IC47" s="2"/>
      <c r="ID47" s="2"/>
      <c r="IE47" s="2"/>
      <c r="IF47" s="2"/>
      <c r="IG47" s="2"/>
      <c r="IH47" s="2"/>
      <c r="II47" s="2"/>
      <c r="IJ47" s="2"/>
      <c r="IK47" s="2"/>
      <c r="IL47" s="2"/>
      <c r="IM47" s="2"/>
      <c r="IN47" s="2"/>
      <c r="IO47" s="2"/>
      <c r="IP47" s="2"/>
      <c r="IQ47" s="2"/>
      <c r="IR47" s="2"/>
      <c r="IS47" s="2"/>
      <c r="IT47" s="2"/>
      <c r="IU47" s="2"/>
      <c r="IV47" s="2"/>
    </row>
    <row r="48" spans="1:256" ht="11.85" customHeight="1">
      <c r="A48" s="24" t="s">
        <v>104</v>
      </c>
      <c r="B48" s="28"/>
      <c r="C48" s="26">
        <v>153</v>
      </c>
      <c r="D48" s="41">
        <v>62</v>
      </c>
      <c r="E48" s="277">
        <f t="shared" si="5"/>
        <v>-59.477124183006538</v>
      </c>
      <c r="F48" s="26">
        <v>79</v>
      </c>
      <c r="G48" s="27">
        <v>101</v>
      </c>
      <c r="H48" s="277">
        <f t="shared" si="6"/>
        <v>27.848101265822777</v>
      </c>
      <c r="I48" s="26">
        <f t="shared" si="7"/>
        <v>232</v>
      </c>
      <c r="J48" s="26">
        <f t="shared" si="8"/>
        <v>163</v>
      </c>
      <c r="K48" s="281">
        <f t="shared" si="9"/>
        <v>-29.741379310344829</v>
      </c>
      <c r="L48" s="8"/>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2"/>
      <c r="CF48" s="2"/>
      <c r="CG48" s="2"/>
      <c r="CH48" s="2"/>
      <c r="CI48" s="2"/>
      <c r="CJ48" s="2"/>
      <c r="CK48" s="2"/>
      <c r="CL48" s="2"/>
      <c r="CM48" s="2"/>
      <c r="CN48" s="2"/>
      <c r="CO48" s="2"/>
      <c r="CP48" s="2"/>
      <c r="CQ48" s="2"/>
      <c r="CR48" s="2"/>
      <c r="CS48" s="2"/>
      <c r="CT48" s="2"/>
      <c r="CU48" s="2"/>
      <c r="CV48" s="2"/>
      <c r="CW48" s="2"/>
      <c r="CX48" s="2"/>
      <c r="CY48" s="2"/>
      <c r="CZ48" s="2"/>
      <c r="DA48" s="2"/>
      <c r="DB48" s="2"/>
      <c r="DC48" s="2"/>
      <c r="DD48" s="2"/>
      <c r="DE48" s="2"/>
      <c r="DF48" s="2"/>
      <c r="DG48" s="2"/>
      <c r="DH48" s="2"/>
      <c r="DI48" s="2"/>
      <c r="DJ48" s="2"/>
      <c r="DK48" s="2"/>
      <c r="DL48" s="2"/>
      <c r="DM48" s="2"/>
      <c r="DN48" s="2"/>
      <c r="DO48" s="2"/>
      <c r="DP48" s="2"/>
      <c r="DQ48" s="2"/>
      <c r="DR48" s="2"/>
      <c r="DS48" s="2"/>
      <c r="DT48" s="2"/>
      <c r="DU48" s="2"/>
      <c r="DV48" s="2"/>
      <c r="DW48" s="2"/>
      <c r="DX48" s="2"/>
      <c r="DY48" s="2"/>
      <c r="DZ48" s="2"/>
      <c r="EA48" s="2"/>
      <c r="EB48" s="2"/>
      <c r="EC48" s="2"/>
      <c r="ED48" s="2"/>
      <c r="EE48" s="2"/>
      <c r="EF48" s="2"/>
      <c r="EG48" s="2"/>
      <c r="EH48" s="2"/>
      <c r="EI48" s="2"/>
      <c r="EJ48" s="2"/>
      <c r="EK48" s="2"/>
      <c r="EL48" s="2"/>
      <c r="EM48" s="2"/>
      <c r="EN48" s="2"/>
      <c r="EO48" s="2"/>
      <c r="EP48" s="2"/>
      <c r="EQ48" s="2"/>
      <c r="ER48" s="2"/>
      <c r="ES48" s="2"/>
      <c r="ET48" s="2"/>
      <c r="EU48" s="2"/>
      <c r="EV48" s="2"/>
      <c r="EW48" s="2"/>
      <c r="EX48" s="2"/>
      <c r="EY48" s="2"/>
      <c r="EZ48" s="2"/>
      <c r="FA48" s="2"/>
      <c r="FB48" s="2"/>
      <c r="FC48" s="2"/>
      <c r="FD48" s="2"/>
      <c r="FE48" s="2"/>
      <c r="FF48" s="2"/>
      <c r="FG48" s="2"/>
      <c r="FH48" s="2"/>
      <c r="FI48" s="2"/>
      <c r="FJ48" s="2"/>
      <c r="FK48" s="2"/>
      <c r="FL48" s="2"/>
      <c r="FM48" s="2"/>
      <c r="FN48" s="2"/>
      <c r="FO48" s="2"/>
      <c r="FP48" s="2"/>
      <c r="FQ48" s="2"/>
      <c r="FR48" s="2"/>
      <c r="FS48" s="2"/>
      <c r="FT48" s="2"/>
      <c r="FU48" s="2"/>
      <c r="FV48" s="2"/>
      <c r="FW48" s="2"/>
      <c r="FX48" s="2"/>
      <c r="FY48" s="2"/>
      <c r="FZ48" s="2"/>
      <c r="GA48" s="2"/>
      <c r="GB48" s="2"/>
      <c r="GC48" s="2"/>
      <c r="GD48" s="2"/>
      <c r="GE48" s="2"/>
      <c r="GF48" s="2"/>
      <c r="GG48" s="2"/>
      <c r="GH48" s="2"/>
      <c r="GI48" s="2"/>
      <c r="GJ48" s="2"/>
      <c r="GK48" s="2"/>
      <c r="GL48" s="2"/>
      <c r="GM48" s="2"/>
      <c r="GN48" s="2"/>
      <c r="GO48" s="2"/>
      <c r="GP48" s="2"/>
      <c r="GQ48" s="2"/>
      <c r="GR48" s="2"/>
      <c r="GS48" s="2"/>
      <c r="GT48" s="2"/>
      <c r="GU48" s="2"/>
      <c r="GV48" s="2"/>
      <c r="GW48" s="2"/>
      <c r="GX48" s="2"/>
      <c r="GY48" s="2"/>
      <c r="GZ48" s="2"/>
      <c r="HA48" s="2"/>
      <c r="HB48" s="2"/>
      <c r="HC48" s="2"/>
      <c r="HD48" s="2"/>
      <c r="HE48" s="2"/>
      <c r="HF48" s="2"/>
      <c r="HG48" s="2"/>
      <c r="HH48" s="2"/>
      <c r="HI48" s="2"/>
      <c r="HJ48" s="2"/>
      <c r="HK48" s="2"/>
      <c r="HL48" s="2"/>
      <c r="HM48" s="2"/>
      <c r="HN48" s="2"/>
      <c r="HO48" s="2"/>
      <c r="HP48" s="2"/>
      <c r="HQ48" s="2"/>
      <c r="HR48" s="2"/>
      <c r="HS48" s="2"/>
      <c r="HT48" s="2"/>
      <c r="HU48" s="2"/>
      <c r="HV48" s="2"/>
      <c r="HW48" s="2"/>
      <c r="HX48" s="2"/>
      <c r="HY48" s="2"/>
      <c r="HZ48" s="2"/>
      <c r="IA48" s="2"/>
      <c r="IB48" s="2"/>
      <c r="IC48" s="2"/>
      <c r="ID48" s="2"/>
      <c r="IE48" s="2"/>
      <c r="IF48" s="2"/>
      <c r="IG48" s="2"/>
      <c r="IH48" s="2"/>
      <c r="II48" s="2"/>
      <c r="IJ48" s="2"/>
      <c r="IK48" s="2"/>
      <c r="IL48" s="2"/>
      <c r="IM48" s="2"/>
      <c r="IN48" s="2"/>
      <c r="IO48" s="2"/>
      <c r="IP48" s="2"/>
      <c r="IQ48" s="2"/>
      <c r="IR48" s="2"/>
      <c r="IS48" s="2"/>
      <c r="IT48" s="2"/>
      <c r="IU48" s="2"/>
      <c r="IV48" s="2"/>
    </row>
    <row r="49" spans="1:256" ht="11.85" customHeight="1">
      <c r="A49" s="24" t="s">
        <v>36</v>
      </c>
      <c r="B49" s="28"/>
      <c r="C49" s="26">
        <v>29</v>
      </c>
      <c r="D49" s="41">
        <v>28</v>
      </c>
      <c r="E49" s="277">
        <f t="shared" si="5"/>
        <v>-3.4482758620689613</v>
      </c>
      <c r="F49" s="26">
        <v>0</v>
      </c>
      <c r="G49" s="27">
        <v>60</v>
      </c>
      <c r="H49" s="277" t="str">
        <f t="shared" si="6"/>
        <v>##</v>
      </c>
      <c r="I49" s="26">
        <f t="shared" si="7"/>
        <v>29</v>
      </c>
      <c r="J49" s="26">
        <f t="shared" si="8"/>
        <v>88</v>
      </c>
      <c r="K49" s="281">
        <f t="shared" si="9"/>
        <v>203.44827586206895</v>
      </c>
      <c r="L49" s="8"/>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2"/>
      <c r="CF49" s="2"/>
      <c r="CG49" s="2"/>
      <c r="CH49" s="2"/>
      <c r="CI49" s="2"/>
      <c r="CJ49" s="2"/>
      <c r="CK49" s="2"/>
      <c r="CL49" s="2"/>
      <c r="CM49" s="2"/>
      <c r="CN49" s="2"/>
      <c r="CO49" s="2"/>
      <c r="CP49" s="2"/>
      <c r="CQ49" s="2"/>
      <c r="CR49" s="2"/>
      <c r="CS49" s="2"/>
      <c r="CT49" s="2"/>
      <c r="CU49" s="2"/>
      <c r="CV49" s="2"/>
      <c r="CW49" s="2"/>
      <c r="CX49" s="2"/>
      <c r="CY49" s="2"/>
      <c r="CZ49" s="2"/>
      <c r="DA49" s="2"/>
      <c r="DB49" s="2"/>
      <c r="DC49" s="2"/>
      <c r="DD49" s="2"/>
      <c r="DE49" s="2"/>
      <c r="DF49" s="2"/>
      <c r="DG49" s="2"/>
      <c r="DH49" s="2"/>
      <c r="DI49" s="2"/>
      <c r="DJ49" s="2"/>
      <c r="DK49" s="2"/>
      <c r="DL49" s="2"/>
      <c r="DM49" s="2"/>
      <c r="DN49" s="2"/>
      <c r="DO49" s="2"/>
      <c r="DP49" s="2"/>
      <c r="DQ49" s="2"/>
      <c r="DR49" s="2"/>
      <c r="DS49" s="2"/>
      <c r="DT49" s="2"/>
      <c r="DU49" s="2"/>
      <c r="DV49" s="2"/>
      <c r="DW49" s="2"/>
      <c r="DX49" s="2"/>
      <c r="DY49" s="2"/>
      <c r="DZ49" s="2"/>
      <c r="EA49" s="2"/>
      <c r="EB49" s="2"/>
      <c r="EC49" s="2"/>
      <c r="ED49" s="2"/>
      <c r="EE49" s="2"/>
      <c r="EF49" s="2"/>
      <c r="EG49" s="2"/>
      <c r="EH49" s="2"/>
      <c r="EI49" s="2"/>
      <c r="EJ49" s="2"/>
      <c r="EK49" s="2"/>
      <c r="EL49" s="2"/>
      <c r="EM49" s="2"/>
      <c r="EN49" s="2"/>
      <c r="EO49" s="2"/>
      <c r="EP49" s="2"/>
      <c r="EQ49" s="2"/>
      <c r="ER49" s="2"/>
      <c r="ES49" s="2"/>
      <c r="ET49" s="2"/>
      <c r="EU49" s="2"/>
      <c r="EV49" s="2"/>
      <c r="EW49" s="2"/>
      <c r="EX49" s="2"/>
      <c r="EY49" s="2"/>
      <c r="EZ49" s="2"/>
      <c r="FA49" s="2"/>
      <c r="FB49" s="2"/>
      <c r="FC49" s="2"/>
      <c r="FD49" s="2"/>
      <c r="FE49" s="2"/>
      <c r="FF49" s="2"/>
      <c r="FG49" s="2"/>
      <c r="FH49" s="2"/>
      <c r="FI49" s="2"/>
      <c r="FJ49" s="2"/>
      <c r="FK49" s="2"/>
      <c r="FL49" s="2"/>
      <c r="FM49" s="2"/>
      <c r="FN49" s="2"/>
      <c r="FO49" s="2"/>
      <c r="FP49" s="2"/>
      <c r="FQ49" s="2"/>
      <c r="FR49" s="2"/>
      <c r="FS49" s="2"/>
      <c r="FT49" s="2"/>
      <c r="FU49" s="2"/>
      <c r="FV49" s="2"/>
      <c r="FW49" s="2"/>
      <c r="FX49" s="2"/>
      <c r="FY49" s="2"/>
      <c r="FZ49" s="2"/>
      <c r="GA49" s="2"/>
      <c r="GB49" s="2"/>
      <c r="GC49" s="2"/>
      <c r="GD49" s="2"/>
      <c r="GE49" s="2"/>
      <c r="GF49" s="2"/>
      <c r="GG49" s="2"/>
      <c r="GH49" s="2"/>
      <c r="GI49" s="2"/>
      <c r="GJ49" s="2"/>
      <c r="GK49" s="2"/>
      <c r="GL49" s="2"/>
      <c r="GM49" s="2"/>
      <c r="GN49" s="2"/>
      <c r="GO49" s="2"/>
      <c r="GP49" s="2"/>
      <c r="GQ49" s="2"/>
      <c r="GR49" s="2"/>
      <c r="GS49" s="2"/>
      <c r="GT49" s="2"/>
      <c r="GU49" s="2"/>
      <c r="GV49" s="2"/>
      <c r="GW49" s="2"/>
      <c r="GX49" s="2"/>
      <c r="GY49" s="2"/>
      <c r="GZ49" s="2"/>
      <c r="HA49" s="2"/>
      <c r="HB49" s="2"/>
      <c r="HC49" s="2"/>
      <c r="HD49" s="2"/>
      <c r="HE49" s="2"/>
      <c r="HF49" s="2"/>
      <c r="HG49" s="2"/>
      <c r="HH49" s="2"/>
      <c r="HI49" s="2"/>
      <c r="HJ49" s="2"/>
      <c r="HK49" s="2"/>
      <c r="HL49" s="2"/>
      <c r="HM49" s="2"/>
      <c r="HN49" s="2"/>
      <c r="HO49" s="2"/>
      <c r="HP49" s="2"/>
      <c r="HQ49" s="2"/>
      <c r="HR49" s="2"/>
      <c r="HS49" s="2"/>
      <c r="HT49" s="2"/>
      <c r="HU49" s="2"/>
      <c r="HV49" s="2"/>
      <c r="HW49" s="2"/>
      <c r="HX49" s="2"/>
      <c r="HY49" s="2"/>
      <c r="HZ49" s="2"/>
      <c r="IA49" s="2"/>
      <c r="IB49" s="2"/>
      <c r="IC49" s="2"/>
      <c r="ID49" s="2"/>
      <c r="IE49" s="2"/>
      <c r="IF49" s="2"/>
      <c r="IG49" s="2"/>
      <c r="IH49" s="2"/>
      <c r="II49" s="2"/>
      <c r="IJ49" s="2"/>
      <c r="IK49" s="2"/>
      <c r="IL49" s="2"/>
      <c r="IM49" s="2"/>
      <c r="IN49" s="2"/>
      <c r="IO49" s="2"/>
      <c r="IP49" s="2"/>
      <c r="IQ49" s="2"/>
      <c r="IR49" s="2"/>
      <c r="IS49" s="2"/>
      <c r="IT49" s="2"/>
      <c r="IU49" s="2"/>
      <c r="IV49" s="2"/>
    </row>
    <row r="50" spans="1:256" ht="11.85" customHeight="1">
      <c r="A50" s="24" t="s">
        <v>105</v>
      </c>
      <c r="B50" s="28"/>
      <c r="C50" s="26">
        <v>44</v>
      </c>
      <c r="D50" s="41">
        <v>52</v>
      </c>
      <c r="E50" s="277">
        <f t="shared" si="5"/>
        <v>18.181818181818187</v>
      </c>
      <c r="F50" s="26">
        <v>6</v>
      </c>
      <c r="G50" s="27">
        <v>24</v>
      </c>
      <c r="H50" s="277">
        <f t="shared" si="6"/>
        <v>300</v>
      </c>
      <c r="I50" s="26">
        <f t="shared" si="7"/>
        <v>50</v>
      </c>
      <c r="J50" s="26">
        <f t="shared" si="8"/>
        <v>76</v>
      </c>
      <c r="K50" s="281">
        <f t="shared" si="9"/>
        <v>52</v>
      </c>
      <c r="L50" s="8"/>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2"/>
      <c r="CF50" s="2"/>
      <c r="CG50" s="2"/>
      <c r="CH50" s="2"/>
      <c r="CI50" s="2"/>
      <c r="CJ50" s="2"/>
      <c r="CK50" s="2"/>
      <c r="CL50" s="2"/>
      <c r="CM50" s="2"/>
      <c r="CN50" s="2"/>
      <c r="CO50" s="2"/>
      <c r="CP50" s="2"/>
      <c r="CQ50" s="2"/>
      <c r="CR50" s="2"/>
      <c r="CS50" s="2"/>
      <c r="CT50" s="2"/>
      <c r="CU50" s="2"/>
      <c r="CV50" s="2"/>
      <c r="CW50" s="2"/>
      <c r="CX50" s="2"/>
      <c r="CY50" s="2"/>
      <c r="CZ50" s="2"/>
      <c r="DA50" s="2"/>
      <c r="DB50" s="2"/>
      <c r="DC50" s="2"/>
      <c r="DD50" s="2"/>
      <c r="DE50" s="2"/>
      <c r="DF50" s="2"/>
      <c r="DG50" s="2"/>
      <c r="DH50" s="2"/>
      <c r="DI50" s="2"/>
      <c r="DJ50" s="2"/>
      <c r="DK50" s="2"/>
      <c r="DL50" s="2"/>
      <c r="DM50" s="2"/>
      <c r="DN50" s="2"/>
      <c r="DO50" s="2"/>
      <c r="DP50" s="2"/>
      <c r="DQ50" s="2"/>
      <c r="DR50" s="2"/>
      <c r="DS50" s="2"/>
      <c r="DT50" s="2"/>
      <c r="DU50" s="2"/>
      <c r="DV50" s="2"/>
      <c r="DW50" s="2"/>
      <c r="DX50" s="2"/>
      <c r="DY50" s="2"/>
      <c r="DZ50" s="2"/>
      <c r="EA50" s="2"/>
      <c r="EB50" s="2"/>
      <c r="EC50" s="2"/>
      <c r="ED50" s="2"/>
      <c r="EE50" s="2"/>
      <c r="EF50" s="2"/>
      <c r="EG50" s="2"/>
      <c r="EH50" s="2"/>
      <c r="EI50" s="2"/>
      <c r="EJ50" s="2"/>
      <c r="EK50" s="2"/>
      <c r="EL50" s="2"/>
      <c r="EM50" s="2"/>
      <c r="EN50" s="2"/>
      <c r="EO50" s="2"/>
      <c r="EP50" s="2"/>
      <c r="EQ50" s="2"/>
      <c r="ER50" s="2"/>
      <c r="ES50" s="2"/>
      <c r="ET50" s="2"/>
      <c r="EU50" s="2"/>
      <c r="EV50" s="2"/>
      <c r="EW50" s="2"/>
      <c r="EX50" s="2"/>
      <c r="EY50" s="2"/>
      <c r="EZ50" s="2"/>
      <c r="FA50" s="2"/>
      <c r="FB50" s="2"/>
      <c r="FC50" s="2"/>
      <c r="FD50" s="2"/>
      <c r="FE50" s="2"/>
      <c r="FF50" s="2"/>
      <c r="FG50" s="2"/>
      <c r="FH50" s="2"/>
      <c r="FI50" s="2"/>
      <c r="FJ50" s="2"/>
      <c r="FK50" s="2"/>
      <c r="FL50" s="2"/>
      <c r="FM50" s="2"/>
      <c r="FN50" s="2"/>
      <c r="FO50" s="2"/>
      <c r="FP50" s="2"/>
      <c r="FQ50" s="2"/>
      <c r="FR50" s="2"/>
      <c r="FS50" s="2"/>
      <c r="FT50" s="2"/>
      <c r="FU50" s="2"/>
      <c r="FV50" s="2"/>
      <c r="FW50" s="2"/>
      <c r="FX50" s="2"/>
      <c r="FY50" s="2"/>
      <c r="FZ50" s="2"/>
      <c r="GA50" s="2"/>
      <c r="GB50" s="2"/>
      <c r="GC50" s="2"/>
      <c r="GD50" s="2"/>
      <c r="GE50" s="2"/>
      <c r="GF50" s="2"/>
      <c r="GG50" s="2"/>
      <c r="GH50" s="2"/>
      <c r="GI50" s="2"/>
      <c r="GJ50" s="2"/>
      <c r="GK50" s="2"/>
      <c r="GL50" s="2"/>
      <c r="GM50" s="2"/>
      <c r="GN50" s="2"/>
      <c r="GO50" s="2"/>
      <c r="GP50" s="2"/>
      <c r="GQ50" s="2"/>
      <c r="GR50" s="2"/>
      <c r="GS50" s="2"/>
      <c r="GT50" s="2"/>
      <c r="GU50" s="2"/>
      <c r="GV50" s="2"/>
      <c r="GW50" s="2"/>
      <c r="GX50" s="2"/>
      <c r="GY50" s="2"/>
      <c r="GZ50" s="2"/>
      <c r="HA50" s="2"/>
      <c r="HB50" s="2"/>
      <c r="HC50" s="2"/>
      <c r="HD50" s="2"/>
      <c r="HE50" s="2"/>
      <c r="HF50" s="2"/>
      <c r="HG50" s="2"/>
      <c r="HH50" s="2"/>
      <c r="HI50" s="2"/>
      <c r="HJ50" s="2"/>
      <c r="HK50" s="2"/>
      <c r="HL50" s="2"/>
      <c r="HM50" s="2"/>
      <c r="HN50" s="2"/>
      <c r="HO50" s="2"/>
      <c r="HP50" s="2"/>
      <c r="HQ50" s="2"/>
      <c r="HR50" s="2"/>
      <c r="HS50" s="2"/>
      <c r="HT50" s="2"/>
      <c r="HU50" s="2"/>
      <c r="HV50" s="2"/>
      <c r="HW50" s="2"/>
      <c r="HX50" s="2"/>
      <c r="HY50" s="2"/>
      <c r="HZ50" s="2"/>
      <c r="IA50" s="2"/>
      <c r="IB50" s="2"/>
      <c r="IC50" s="2"/>
      <c r="ID50" s="2"/>
      <c r="IE50" s="2"/>
      <c r="IF50" s="2"/>
      <c r="IG50" s="2"/>
      <c r="IH50" s="2"/>
      <c r="II50" s="2"/>
      <c r="IJ50" s="2"/>
      <c r="IK50" s="2"/>
      <c r="IL50" s="2"/>
      <c r="IM50" s="2"/>
      <c r="IN50" s="2"/>
      <c r="IO50" s="2"/>
      <c r="IP50" s="2"/>
      <c r="IQ50" s="2"/>
      <c r="IR50" s="2"/>
      <c r="IS50" s="2"/>
      <c r="IT50" s="2"/>
      <c r="IU50" s="2"/>
      <c r="IV50" s="2"/>
    </row>
    <row r="51" spans="1:256" ht="11.85" customHeight="1">
      <c r="A51" s="24" t="s">
        <v>37</v>
      </c>
      <c r="B51" s="28"/>
      <c r="C51" s="26">
        <v>83</v>
      </c>
      <c r="D51" s="41">
        <v>85</v>
      </c>
      <c r="E51" s="277">
        <f t="shared" si="5"/>
        <v>2.4096385542168752</v>
      </c>
      <c r="F51" s="26">
        <v>74</v>
      </c>
      <c r="G51" s="27">
        <v>64</v>
      </c>
      <c r="H51" s="277">
        <f t="shared" si="6"/>
        <v>-13.513513513513509</v>
      </c>
      <c r="I51" s="26">
        <f t="shared" si="7"/>
        <v>157</v>
      </c>
      <c r="J51" s="26">
        <f t="shared" si="8"/>
        <v>149</v>
      </c>
      <c r="K51" s="281">
        <f t="shared" si="9"/>
        <v>-5.0955414012738842</v>
      </c>
      <c r="L51" s="8"/>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2"/>
      <c r="CA51" s="2"/>
      <c r="CB51" s="2"/>
      <c r="CC51" s="2"/>
      <c r="CD51" s="2"/>
      <c r="CE51" s="2"/>
      <c r="CF51" s="2"/>
      <c r="CG51" s="2"/>
      <c r="CH51" s="2"/>
      <c r="CI51" s="2"/>
      <c r="CJ51" s="2"/>
      <c r="CK51" s="2"/>
      <c r="CL51" s="2"/>
      <c r="CM51" s="2"/>
      <c r="CN51" s="2"/>
      <c r="CO51" s="2"/>
      <c r="CP51" s="2"/>
      <c r="CQ51" s="2"/>
      <c r="CR51" s="2"/>
      <c r="CS51" s="2"/>
      <c r="CT51" s="2"/>
      <c r="CU51" s="2"/>
      <c r="CV51" s="2"/>
      <c r="CW51" s="2"/>
      <c r="CX51" s="2"/>
      <c r="CY51" s="2"/>
      <c r="CZ51" s="2"/>
      <c r="DA51" s="2"/>
      <c r="DB51" s="2"/>
      <c r="DC51" s="2"/>
      <c r="DD51" s="2"/>
      <c r="DE51" s="2"/>
      <c r="DF51" s="2"/>
      <c r="DG51" s="2"/>
      <c r="DH51" s="2"/>
      <c r="DI51" s="2"/>
      <c r="DJ51" s="2"/>
      <c r="DK51" s="2"/>
      <c r="DL51" s="2"/>
      <c r="DM51" s="2"/>
      <c r="DN51" s="2"/>
      <c r="DO51" s="2"/>
      <c r="DP51" s="2"/>
      <c r="DQ51" s="2"/>
      <c r="DR51" s="2"/>
      <c r="DS51" s="2"/>
      <c r="DT51" s="2"/>
      <c r="DU51" s="2"/>
      <c r="DV51" s="2"/>
      <c r="DW51" s="2"/>
      <c r="DX51" s="2"/>
      <c r="DY51" s="2"/>
      <c r="DZ51" s="2"/>
      <c r="EA51" s="2"/>
      <c r="EB51" s="2"/>
      <c r="EC51" s="2"/>
      <c r="ED51" s="2"/>
      <c r="EE51" s="2"/>
      <c r="EF51" s="2"/>
      <c r="EG51" s="2"/>
      <c r="EH51" s="2"/>
      <c r="EI51" s="2"/>
      <c r="EJ51" s="2"/>
      <c r="EK51" s="2"/>
      <c r="EL51" s="2"/>
      <c r="EM51" s="2"/>
      <c r="EN51" s="2"/>
      <c r="EO51" s="2"/>
      <c r="EP51" s="2"/>
      <c r="EQ51" s="2"/>
      <c r="ER51" s="2"/>
      <c r="ES51" s="2"/>
      <c r="ET51" s="2"/>
      <c r="EU51" s="2"/>
      <c r="EV51" s="2"/>
      <c r="EW51" s="2"/>
      <c r="EX51" s="2"/>
      <c r="EY51" s="2"/>
      <c r="EZ51" s="2"/>
      <c r="FA51" s="2"/>
      <c r="FB51" s="2"/>
      <c r="FC51" s="2"/>
      <c r="FD51" s="2"/>
      <c r="FE51" s="2"/>
      <c r="FF51" s="2"/>
      <c r="FG51" s="2"/>
      <c r="FH51" s="2"/>
      <c r="FI51" s="2"/>
      <c r="FJ51" s="2"/>
      <c r="FK51" s="2"/>
      <c r="FL51" s="2"/>
      <c r="FM51" s="2"/>
      <c r="FN51" s="2"/>
      <c r="FO51" s="2"/>
      <c r="FP51" s="2"/>
      <c r="FQ51" s="2"/>
      <c r="FR51" s="2"/>
      <c r="FS51" s="2"/>
      <c r="FT51" s="2"/>
      <c r="FU51" s="2"/>
      <c r="FV51" s="2"/>
      <c r="FW51" s="2"/>
      <c r="FX51" s="2"/>
      <c r="FY51" s="2"/>
      <c r="FZ51" s="2"/>
      <c r="GA51" s="2"/>
      <c r="GB51" s="2"/>
      <c r="GC51" s="2"/>
      <c r="GD51" s="2"/>
      <c r="GE51" s="2"/>
      <c r="GF51" s="2"/>
      <c r="GG51" s="2"/>
      <c r="GH51" s="2"/>
      <c r="GI51" s="2"/>
      <c r="GJ51" s="2"/>
      <c r="GK51" s="2"/>
      <c r="GL51" s="2"/>
      <c r="GM51" s="2"/>
      <c r="GN51" s="2"/>
      <c r="GO51" s="2"/>
      <c r="GP51" s="2"/>
      <c r="GQ51" s="2"/>
      <c r="GR51" s="2"/>
      <c r="GS51" s="2"/>
      <c r="GT51" s="2"/>
      <c r="GU51" s="2"/>
      <c r="GV51" s="2"/>
      <c r="GW51" s="2"/>
      <c r="GX51" s="2"/>
      <c r="GY51" s="2"/>
      <c r="GZ51" s="2"/>
      <c r="HA51" s="2"/>
      <c r="HB51" s="2"/>
      <c r="HC51" s="2"/>
      <c r="HD51" s="2"/>
      <c r="HE51" s="2"/>
      <c r="HF51" s="2"/>
      <c r="HG51" s="2"/>
      <c r="HH51" s="2"/>
      <c r="HI51" s="2"/>
      <c r="HJ51" s="2"/>
      <c r="HK51" s="2"/>
      <c r="HL51" s="2"/>
      <c r="HM51" s="2"/>
      <c r="HN51" s="2"/>
      <c r="HO51" s="2"/>
      <c r="HP51" s="2"/>
      <c r="HQ51" s="2"/>
      <c r="HR51" s="2"/>
      <c r="HS51" s="2"/>
      <c r="HT51" s="2"/>
      <c r="HU51" s="2"/>
      <c r="HV51" s="2"/>
      <c r="HW51" s="2"/>
      <c r="HX51" s="2"/>
      <c r="HY51" s="2"/>
      <c r="HZ51" s="2"/>
      <c r="IA51" s="2"/>
      <c r="IB51" s="2"/>
      <c r="IC51" s="2"/>
      <c r="ID51" s="2"/>
      <c r="IE51" s="2"/>
      <c r="IF51" s="2"/>
      <c r="IG51" s="2"/>
      <c r="IH51" s="2"/>
      <c r="II51" s="2"/>
      <c r="IJ51" s="2"/>
      <c r="IK51" s="2"/>
      <c r="IL51" s="2"/>
      <c r="IM51" s="2"/>
      <c r="IN51" s="2"/>
      <c r="IO51" s="2"/>
      <c r="IP51" s="2"/>
      <c r="IQ51" s="2"/>
      <c r="IR51" s="2"/>
      <c r="IS51" s="2"/>
      <c r="IT51" s="2"/>
      <c r="IU51" s="2"/>
      <c r="IV51" s="2"/>
    </row>
    <row r="52" spans="1:256" ht="11.85" customHeight="1">
      <c r="A52" s="24" t="s">
        <v>38</v>
      </c>
      <c r="B52" s="28"/>
      <c r="C52" s="26">
        <v>53</v>
      </c>
      <c r="D52" s="41">
        <v>17</v>
      </c>
      <c r="E52" s="277">
        <f t="shared" si="5"/>
        <v>-67.924528301886795</v>
      </c>
      <c r="F52" s="26">
        <v>103</v>
      </c>
      <c r="G52" s="27">
        <v>260</v>
      </c>
      <c r="H52" s="277">
        <f t="shared" si="6"/>
        <v>152.42718446601944</v>
      </c>
      <c r="I52" s="26">
        <f t="shared" si="7"/>
        <v>156</v>
      </c>
      <c r="J52" s="26">
        <f t="shared" si="8"/>
        <v>277</v>
      </c>
      <c r="K52" s="281">
        <f t="shared" si="9"/>
        <v>77.564102564102555</v>
      </c>
      <c r="L52" s="8"/>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c r="CA52" s="2"/>
      <c r="CB52" s="2"/>
      <c r="CC52" s="2"/>
      <c r="CD52" s="2"/>
      <c r="CE52" s="2"/>
      <c r="CF52" s="2"/>
      <c r="CG52" s="2"/>
      <c r="CH52" s="2"/>
      <c r="CI52" s="2"/>
      <c r="CJ52" s="2"/>
      <c r="CK52" s="2"/>
      <c r="CL52" s="2"/>
      <c r="CM52" s="2"/>
      <c r="CN52" s="2"/>
      <c r="CO52" s="2"/>
      <c r="CP52" s="2"/>
      <c r="CQ52" s="2"/>
      <c r="CR52" s="2"/>
      <c r="CS52" s="2"/>
      <c r="CT52" s="2"/>
      <c r="CU52" s="2"/>
      <c r="CV52" s="2"/>
      <c r="CW52" s="2"/>
      <c r="CX52" s="2"/>
      <c r="CY52" s="2"/>
      <c r="CZ52" s="2"/>
      <c r="DA52" s="2"/>
      <c r="DB52" s="2"/>
      <c r="DC52" s="2"/>
      <c r="DD52" s="2"/>
      <c r="DE52" s="2"/>
      <c r="DF52" s="2"/>
      <c r="DG52" s="2"/>
      <c r="DH52" s="2"/>
      <c r="DI52" s="2"/>
      <c r="DJ52" s="2"/>
      <c r="DK52" s="2"/>
      <c r="DL52" s="2"/>
      <c r="DM52" s="2"/>
      <c r="DN52" s="2"/>
      <c r="DO52" s="2"/>
      <c r="DP52" s="2"/>
      <c r="DQ52" s="2"/>
      <c r="DR52" s="2"/>
      <c r="DS52" s="2"/>
      <c r="DT52" s="2"/>
      <c r="DU52" s="2"/>
      <c r="DV52" s="2"/>
      <c r="DW52" s="2"/>
      <c r="DX52" s="2"/>
      <c r="DY52" s="2"/>
      <c r="DZ52" s="2"/>
      <c r="EA52" s="2"/>
      <c r="EB52" s="2"/>
      <c r="EC52" s="2"/>
      <c r="ED52" s="2"/>
      <c r="EE52" s="2"/>
      <c r="EF52" s="2"/>
      <c r="EG52" s="2"/>
      <c r="EH52" s="2"/>
      <c r="EI52" s="2"/>
      <c r="EJ52" s="2"/>
      <c r="EK52" s="2"/>
      <c r="EL52" s="2"/>
      <c r="EM52" s="2"/>
      <c r="EN52" s="2"/>
      <c r="EO52" s="2"/>
      <c r="EP52" s="2"/>
      <c r="EQ52" s="2"/>
      <c r="ER52" s="2"/>
      <c r="ES52" s="2"/>
      <c r="ET52" s="2"/>
      <c r="EU52" s="2"/>
      <c r="EV52" s="2"/>
      <c r="EW52" s="2"/>
      <c r="EX52" s="2"/>
      <c r="EY52" s="2"/>
      <c r="EZ52" s="2"/>
      <c r="FA52" s="2"/>
      <c r="FB52" s="2"/>
      <c r="FC52" s="2"/>
      <c r="FD52" s="2"/>
      <c r="FE52" s="2"/>
      <c r="FF52" s="2"/>
      <c r="FG52" s="2"/>
      <c r="FH52" s="2"/>
      <c r="FI52" s="2"/>
      <c r="FJ52" s="2"/>
      <c r="FK52" s="2"/>
      <c r="FL52" s="2"/>
      <c r="FM52" s="2"/>
      <c r="FN52" s="2"/>
      <c r="FO52" s="2"/>
      <c r="FP52" s="2"/>
      <c r="FQ52" s="2"/>
      <c r="FR52" s="2"/>
      <c r="FS52" s="2"/>
      <c r="FT52" s="2"/>
      <c r="FU52" s="2"/>
      <c r="FV52" s="2"/>
      <c r="FW52" s="2"/>
      <c r="FX52" s="2"/>
      <c r="FY52" s="2"/>
      <c r="FZ52" s="2"/>
      <c r="GA52" s="2"/>
      <c r="GB52" s="2"/>
      <c r="GC52" s="2"/>
      <c r="GD52" s="2"/>
      <c r="GE52" s="2"/>
      <c r="GF52" s="2"/>
      <c r="GG52" s="2"/>
      <c r="GH52" s="2"/>
      <c r="GI52" s="2"/>
      <c r="GJ52" s="2"/>
      <c r="GK52" s="2"/>
      <c r="GL52" s="2"/>
      <c r="GM52" s="2"/>
      <c r="GN52" s="2"/>
      <c r="GO52" s="2"/>
      <c r="GP52" s="2"/>
      <c r="GQ52" s="2"/>
      <c r="GR52" s="2"/>
      <c r="GS52" s="2"/>
      <c r="GT52" s="2"/>
      <c r="GU52" s="2"/>
      <c r="GV52" s="2"/>
      <c r="GW52" s="2"/>
      <c r="GX52" s="2"/>
      <c r="GY52" s="2"/>
      <c r="GZ52" s="2"/>
      <c r="HA52" s="2"/>
      <c r="HB52" s="2"/>
      <c r="HC52" s="2"/>
      <c r="HD52" s="2"/>
      <c r="HE52" s="2"/>
      <c r="HF52" s="2"/>
      <c r="HG52" s="2"/>
      <c r="HH52" s="2"/>
      <c r="HI52" s="2"/>
      <c r="HJ52" s="2"/>
      <c r="HK52" s="2"/>
      <c r="HL52" s="2"/>
      <c r="HM52" s="2"/>
      <c r="HN52" s="2"/>
      <c r="HO52" s="2"/>
      <c r="HP52" s="2"/>
      <c r="HQ52" s="2"/>
      <c r="HR52" s="2"/>
      <c r="HS52" s="2"/>
      <c r="HT52" s="2"/>
      <c r="HU52" s="2"/>
      <c r="HV52" s="2"/>
      <c r="HW52" s="2"/>
      <c r="HX52" s="2"/>
      <c r="HY52" s="2"/>
      <c r="HZ52" s="2"/>
      <c r="IA52" s="2"/>
      <c r="IB52" s="2"/>
      <c r="IC52" s="2"/>
      <c r="ID52" s="2"/>
      <c r="IE52" s="2"/>
      <c r="IF52" s="2"/>
      <c r="IG52" s="2"/>
      <c r="IH52" s="2"/>
      <c r="II52" s="2"/>
      <c r="IJ52" s="2"/>
      <c r="IK52" s="2"/>
      <c r="IL52" s="2"/>
      <c r="IM52" s="2"/>
      <c r="IN52" s="2"/>
      <c r="IO52" s="2"/>
      <c r="IP52" s="2"/>
      <c r="IQ52" s="2"/>
      <c r="IR52" s="2"/>
      <c r="IS52" s="2"/>
      <c r="IT52" s="2"/>
      <c r="IU52" s="2"/>
      <c r="IV52" s="2"/>
    </row>
    <row r="53" spans="1:256" ht="11.85" customHeight="1">
      <c r="A53" s="24" t="s">
        <v>39</v>
      </c>
      <c r="B53" s="28"/>
      <c r="C53" s="26">
        <v>1</v>
      </c>
      <c r="D53" s="41">
        <v>11</v>
      </c>
      <c r="E53" s="277" t="str">
        <f t="shared" si="5"/>
        <v>##</v>
      </c>
      <c r="F53" s="26">
        <v>0</v>
      </c>
      <c r="G53" s="27">
        <v>0</v>
      </c>
      <c r="H53" s="277" t="str">
        <f t="shared" si="6"/>
        <v>-</v>
      </c>
      <c r="I53" s="26">
        <f t="shared" si="7"/>
        <v>1</v>
      </c>
      <c r="J53" s="26">
        <f t="shared" si="8"/>
        <v>11</v>
      </c>
      <c r="K53" s="281" t="str">
        <f t="shared" si="9"/>
        <v>##</v>
      </c>
      <c r="L53" s="8"/>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c r="CA53" s="2"/>
      <c r="CB53" s="2"/>
      <c r="CC53" s="2"/>
      <c r="CD53" s="2"/>
      <c r="CE53" s="2"/>
      <c r="CF53" s="2"/>
      <c r="CG53" s="2"/>
      <c r="CH53" s="2"/>
      <c r="CI53" s="2"/>
      <c r="CJ53" s="2"/>
      <c r="CK53" s="2"/>
      <c r="CL53" s="2"/>
      <c r="CM53" s="2"/>
      <c r="CN53" s="2"/>
      <c r="CO53" s="2"/>
      <c r="CP53" s="2"/>
      <c r="CQ53" s="2"/>
      <c r="CR53" s="2"/>
      <c r="CS53" s="2"/>
      <c r="CT53" s="2"/>
      <c r="CU53" s="2"/>
      <c r="CV53" s="2"/>
      <c r="CW53" s="2"/>
      <c r="CX53" s="2"/>
      <c r="CY53" s="2"/>
      <c r="CZ53" s="2"/>
      <c r="DA53" s="2"/>
      <c r="DB53" s="2"/>
      <c r="DC53" s="2"/>
      <c r="DD53" s="2"/>
      <c r="DE53" s="2"/>
      <c r="DF53" s="2"/>
      <c r="DG53" s="2"/>
      <c r="DH53" s="2"/>
      <c r="DI53" s="2"/>
      <c r="DJ53" s="2"/>
      <c r="DK53" s="2"/>
      <c r="DL53" s="2"/>
      <c r="DM53" s="2"/>
      <c r="DN53" s="2"/>
      <c r="DO53" s="2"/>
      <c r="DP53" s="2"/>
      <c r="DQ53" s="2"/>
      <c r="DR53" s="2"/>
      <c r="DS53" s="2"/>
      <c r="DT53" s="2"/>
      <c r="DU53" s="2"/>
      <c r="DV53" s="2"/>
      <c r="DW53" s="2"/>
      <c r="DX53" s="2"/>
      <c r="DY53" s="2"/>
      <c r="DZ53" s="2"/>
      <c r="EA53" s="2"/>
      <c r="EB53" s="2"/>
      <c r="EC53" s="2"/>
      <c r="ED53" s="2"/>
      <c r="EE53" s="2"/>
      <c r="EF53" s="2"/>
      <c r="EG53" s="2"/>
      <c r="EH53" s="2"/>
      <c r="EI53" s="2"/>
      <c r="EJ53" s="2"/>
      <c r="EK53" s="2"/>
      <c r="EL53" s="2"/>
      <c r="EM53" s="2"/>
      <c r="EN53" s="2"/>
      <c r="EO53" s="2"/>
      <c r="EP53" s="2"/>
      <c r="EQ53" s="2"/>
      <c r="ER53" s="2"/>
      <c r="ES53" s="2"/>
      <c r="ET53" s="2"/>
      <c r="EU53" s="2"/>
      <c r="EV53" s="2"/>
      <c r="EW53" s="2"/>
      <c r="EX53" s="2"/>
      <c r="EY53" s="2"/>
      <c r="EZ53" s="2"/>
      <c r="FA53" s="2"/>
      <c r="FB53" s="2"/>
      <c r="FC53" s="2"/>
      <c r="FD53" s="2"/>
      <c r="FE53" s="2"/>
      <c r="FF53" s="2"/>
      <c r="FG53" s="2"/>
      <c r="FH53" s="2"/>
      <c r="FI53" s="2"/>
      <c r="FJ53" s="2"/>
      <c r="FK53" s="2"/>
      <c r="FL53" s="2"/>
      <c r="FM53" s="2"/>
      <c r="FN53" s="2"/>
      <c r="FO53" s="2"/>
      <c r="FP53" s="2"/>
      <c r="FQ53" s="2"/>
      <c r="FR53" s="2"/>
      <c r="FS53" s="2"/>
      <c r="FT53" s="2"/>
      <c r="FU53" s="2"/>
      <c r="FV53" s="2"/>
      <c r="FW53" s="2"/>
      <c r="FX53" s="2"/>
      <c r="FY53" s="2"/>
      <c r="FZ53" s="2"/>
      <c r="GA53" s="2"/>
      <c r="GB53" s="2"/>
      <c r="GC53" s="2"/>
      <c r="GD53" s="2"/>
      <c r="GE53" s="2"/>
      <c r="GF53" s="2"/>
      <c r="GG53" s="2"/>
      <c r="GH53" s="2"/>
      <c r="GI53" s="2"/>
      <c r="GJ53" s="2"/>
      <c r="GK53" s="2"/>
      <c r="GL53" s="2"/>
      <c r="GM53" s="2"/>
      <c r="GN53" s="2"/>
      <c r="GO53" s="2"/>
      <c r="GP53" s="2"/>
      <c r="GQ53" s="2"/>
      <c r="GR53" s="2"/>
      <c r="GS53" s="2"/>
      <c r="GT53" s="2"/>
      <c r="GU53" s="2"/>
      <c r="GV53" s="2"/>
      <c r="GW53" s="2"/>
      <c r="GX53" s="2"/>
      <c r="GY53" s="2"/>
      <c r="GZ53" s="2"/>
      <c r="HA53" s="2"/>
      <c r="HB53" s="2"/>
      <c r="HC53" s="2"/>
      <c r="HD53" s="2"/>
      <c r="HE53" s="2"/>
      <c r="HF53" s="2"/>
      <c r="HG53" s="2"/>
      <c r="HH53" s="2"/>
      <c r="HI53" s="2"/>
      <c r="HJ53" s="2"/>
      <c r="HK53" s="2"/>
      <c r="HL53" s="2"/>
      <c r="HM53" s="2"/>
      <c r="HN53" s="2"/>
      <c r="HO53" s="2"/>
      <c r="HP53" s="2"/>
      <c r="HQ53" s="2"/>
      <c r="HR53" s="2"/>
      <c r="HS53" s="2"/>
      <c r="HT53" s="2"/>
      <c r="HU53" s="2"/>
      <c r="HV53" s="2"/>
      <c r="HW53" s="2"/>
      <c r="HX53" s="2"/>
      <c r="HY53" s="2"/>
      <c r="HZ53" s="2"/>
      <c r="IA53" s="2"/>
      <c r="IB53" s="2"/>
      <c r="IC53" s="2"/>
      <c r="ID53" s="2"/>
      <c r="IE53" s="2"/>
      <c r="IF53" s="2"/>
      <c r="IG53" s="2"/>
      <c r="IH53" s="2"/>
      <c r="II53" s="2"/>
      <c r="IJ53" s="2"/>
      <c r="IK53" s="2"/>
      <c r="IL53" s="2"/>
      <c r="IM53" s="2"/>
      <c r="IN53" s="2"/>
      <c r="IO53" s="2"/>
      <c r="IP53" s="2"/>
      <c r="IQ53" s="2"/>
      <c r="IR53" s="2"/>
      <c r="IS53" s="2"/>
      <c r="IT53" s="2"/>
      <c r="IU53" s="2"/>
      <c r="IV53" s="2"/>
    </row>
    <row r="54" spans="1:256" ht="11.85" customHeight="1">
      <c r="A54" s="24" t="s">
        <v>40</v>
      </c>
      <c r="B54" s="28"/>
      <c r="C54" s="26">
        <v>429</v>
      </c>
      <c r="D54" s="41">
        <v>461</v>
      </c>
      <c r="E54" s="277">
        <f t="shared" si="5"/>
        <v>7.4592074592074509</v>
      </c>
      <c r="F54" s="26">
        <v>2159</v>
      </c>
      <c r="G54" s="27">
        <v>1944</v>
      </c>
      <c r="H54" s="277">
        <f t="shared" si="6"/>
        <v>-9.9583140342751282</v>
      </c>
      <c r="I54" s="26">
        <f t="shared" si="7"/>
        <v>2588</v>
      </c>
      <c r="J54" s="26">
        <f t="shared" si="8"/>
        <v>2405</v>
      </c>
      <c r="K54" s="281">
        <f t="shared" si="9"/>
        <v>-7.0710973724884107</v>
      </c>
      <c r="L54" s="8"/>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c r="BV54" s="2"/>
      <c r="BW54" s="2"/>
      <c r="BX54" s="2"/>
      <c r="BY54" s="2"/>
      <c r="BZ54" s="2"/>
      <c r="CA54" s="2"/>
      <c r="CB54" s="2"/>
      <c r="CC54" s="2"/>
      <c r="CD54" s="2"/>
      <c r="CE54" s="2"/>
      <c r="CF54" s="2"/>
      <c r="CG54" s="2"/>
      <c r="CH54" s="2"/>
      <c r="CI54" s="2"/>
      <c r="CJ54" s="2"/>
      <c r="CK54" s="2"/>
      <c r="CL54" s="2"/>
      <c r="CM54" s="2"/>
      <c r="CN54" s="2"/>
      <c r="CO54" s="2"/>
      <c r="CP54" s="2"/>
      <c r="CQ54" s="2"/>
      <c r="CR54" s="2"/>
      <c r="CS54" s="2"/>
      <c r="CT54" s="2"/>
      <c r="CU54" s="2"/>
      <c r="CV54" s="2"/>
      <c r="CW54" s="2"/>
      <c r="CX54" s="2"/>
      <c r="CY54" s="2"/>
      <c r="CZ54" s="2"/>
      <c r="DA54" s="2"/>
      <c r="DB54" s="2"/>
      <c r="DC54" s="2"/>
      <c r="DD54" s="2"/>
      <c r="DE54" s="2"/>
      <c r="DF54" s="2"/>
      <c r="DG54" s="2"/>
      <c r="DH54" s="2"/>
      <c r="DI54" s="2"/>
      <c r="DJ54" s="2"/>
      <c r="DK54" s="2"/>
      <c r="DL54" s="2"/>
      <c r="DM54" s="2"/>
      <c r="DN54" s="2"/>
      <c r="DO54" s="2"/>
      <c r="DP54" s="2"/>
      <c r="DQ54" s="2"/>
      <c r="DR54" s="2"/>
      <c r="DS54" s="2"/>
      <c r="DT54" s="2"/>
      <c r="DU54" s="2"/>
      <c r="DV54" s="2"/>
      <c r="DW54" s="2"/>
      <c r="DX54" s="2"/>
      <c r="DY54" s="2"/>
      <c r="DZ54" s="2"/>
      <c r="EA54" s="2"/>
      <c r="EB54" s="2"/>
      <c r="EC54" s="2"/>
      <c r="ED54" s="2"/>
      <c r="EE54" s="2"/>
      <c r="EF54" s="2"/>
      <c r="EG54" s="2"/>
      <c r="EH54" s="2"/>
      <c r="EI54" s="2"/>
      <c r="EJ54" s="2"/>
      <c r="EK54" s="2"/>
      <c r="EL54" s="2"/>
      <c r="EM54" s="2"/>
      <c r="EN54" s="2"/>
      <c r="EO54" s="2"/>
      <c r="EP54" s="2"/>
      <c r="EQ54" s="2"/>
      <c r="ER54" s="2"/>
      <c r="ES54" s="2"/>
      <c r="ET54" s="2"/>
      <c r="EU54" s="2"/>
      <c r="EV54" s="2"/>
      <c r="EW54" s="2"/>
      <c r="EX54" s="2"/>
      <c r="EY54" s="2"/>
      <c r="EZ54" s="2"/>
      <c r="FA54" s="2"/>
      <c r="FB54" s="2"/>
      <c r="FC54" s="2"/>
      <c r="FD54" s="2"/>
      <c r="FE54" s="2"/>
      <c r="FF54" s="2"/>
      <c r="FG54" s="2"/>
      <c r="FH54" s="2"/>
      <c r="FI54" s="2"/>
      <c r="FJ54" s="2"/>
      <c r="FK54" s="2"/>
      <c r="FL54" s="2"/>
      <c r="FM54" s="2"/>
      <c r="FN54" s="2"/>
      <c r="FO54" s="2"/>
      <c r="FP54" s="2"/>
      <c r="FQ54" s="2"/>
      <c r="FR54" s="2"/>
      <c r="FS54" s="2"/>
      <c r="FT54" s="2"/>
      <c r="FU54" s="2"/>
      <c r="FV54" s="2"/>
      <c r="FW54" s="2"/>
      <c r="FX54" s="2"/>
      <c r="FY54" s="2"/>
      <c r="FZ54" s="2"/>
      <c r="GA54" s="2"/>
      <c r="GB54" s="2"/>
      <c r="GC54" s="2"/>
      <c r="GD54" s="2"/>
      <c r="GE54" s="2"/>
      <c r="GF54" s="2"/>
      <c r="GG54" s="2"/>
      <c r="GH54" s="2"/>
      <c r="GI54" s="2"/>
      <c r="GJ54" s="2"/>
      <c r="GK54" s="2"/>
      <c r="GL54" s="2"/>
      <c r="GM54" s="2"/>
      <c r="GN54" s="2"/>
      <c r="GO54" s="2"/>
      <c r="GP54" s="2"/>
      <c r="GQ54" s="2"/>
      <c r="GR54" s="2"/>
      <c r="GS54" s="2"/>
      <c r="GT54" s="2"/>
      <c r="GU54" s="2"/>
      <c r="GV54" s="2"/>
      <c r="GW54" s="2"/>
      <c r="GX54" s="2"/>
      <c r="GY54" s="2"/>
      <c r="GZ54" s="2"/>
      <c r="HA54" s="2"/>
      <c r="HB54" s="2"/>
      <c r="HC54" s="2"/>
      <c r="HD54" s="2"/>
      <c r="HE54" s="2"/>
      <c r="HF54" s="2"/>
      <c r="HG54" s="2"/>
      <c r="HH54" s="2"/>
      <c r="HI54" s="2"/>
      <c r="HJ54" s="2"/>
      <c r="HK54" s="2"/>
      <c r="HL54" s="2"/>
      <c r="HM54" s="2"/>
      <c r="HN54" s="2"/>
      <c r="HO54" s="2"/>
      <c r="HP54" s="2"/>
      <c r="HQ54" s="2"/>
      <c r="HR54" s="2"/>
      <c r="HS54" s="2"/>
      <c r="HT54" s="2"/>
      <c r="HU54" s="2"/>
      <c r="HV54" s="2"/>
      <c r="HW54" s="2"/>
      <c r="HX54" s="2"/>
      <c r="HY54" s="2"/>
      <c r="HZ54" s="2"/>
      <c r="IA54" s="2"/>
      <c r="IB54" s="2"/>
      <c r="IC54" s="2"/>
      <c r="ID54" s="2"/>
      <c r="IE54" s="2"/>
      <c r="IF54" s="2"/>
      <c r="IG54" s="2"/>
      <c r="IH54" s="2"/>
      <c r="II54" s="2"/>
      <c r="IJ54" s="2"/>
      <c r="IK54" s="2"/>
      <c r="IL54" s="2"/>
      <c r="IM54" s="2"/>
      <c r="IN54" s="2"/>
      <c r="IO54" s="2"/>
      <c r="IP54" s="2"/>
      <c r="IQ54" s="2"/>
      <c r="IR54" s="2"/>
      <c r="IS54" s="2"/>
      <c r="IT54" s="2"/>
      <c r="IU54" s="2"/>
      <c r="IV54" s="2"/>
    </row>
    <row r="55" spans="1:256" ht="11.85" customHeight="1">
      <c r="A55" s="24" t="s">
        <v>41</v>
      </c>
      <c r="B55" s="28"/>
      <c r="C55" s="41">
        <v>10</v>
      </c>
      <c r="D55" s="41">
        <v>12</v>
      </c>
      <c r="E55" s="277">
        <f t="shared" si="5"/>
        <v>19.999999999999996</v>
      </c>
      <c r="F55" s="26">
        <v>33</v>
      </c>
      <c r="G55" s="27">
        <v>131</v>
      </c>
      <c r="H55" s="277">
        <f t="shared" si="6"/>
        <v>296.969696969697</v>
      </c>
      <c r="I55" s="26">
        <f t="shared" si="7"/>
        <v>43</v>
      </c>
      <c r="J55" s="26">
        <f t="shared" si="8"/>
        <v>143</v>
      </c>
      <c r="K55" s="281">
        <f t="shared" si="9"/>
        <v>232.55813953488374</v>
      </c>
      <c r="L55" s="8"/>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c r="BS55" s="2"/>
      <c r="BT55" s="2"/>
      <c r="BU55" s="2"/>
      <c r="BV55" s="2"/>
      <c r="BW55" s="2"/>
      <c r="BX55" s="2"/>
      <c r="BY55" s="2"/>
      <c r="BZ55" s="2"/>
      <c r="CA55" s="2"/>
      <c r="CB55" s="2"/>
      <c r="CC55" s="2"/>
      <c r="CD55" s="2"/>
      <c r="CE55" s="2"/>
      <c r="CF55" s="2"/>
      <c r="CG55" s="2"/>
      <c r="CH55" s="2"/>
      <c r="CI55" s="2"/>
      <c r="CJ55" s="2"/>
      <c r="CK55" s="2"/>
      <c r="CL55" s="2"/>
      <c r="CM55" s="2"/>
      <c r="CN55" s="2"/>
      <c r="CO55" s="2"/>
      <c r="CP55" s="2"/>
      <c r="CQ55" s="2"/>
      <c r="CR55" s="2"/>
      <c r="CS55" s="2"/>
      <c r="CT55" s="2"/>
      <c r="CU55" s="2"/>
      <c r="CV55" s="2"/>
      <c r="CW55" s="2"/>
      <c r="CX55" s="2"/>
      <c r="CY55" s="2"/>
      <c r="CZ55" s="2"/>
      <c r="DA55" s="2"/>
      <c r="DB55" s="2"/>
      <c r="DC55" s="2"/>
      <c r="DD55" s="2"/>
      <c r="DE55" s="2"/>
      <c r="DF55" s="2"/>
      <c r="DG55" s="2"/>
      <c r="DH55" s="2"/>
      <c r="DI55" s="2"/>
      <c r="DJ55" s="2"/>
      <c r="DK55" s="2"/>
      <c r="DL55" s="2"/>
      <c r="DM55" s="2"/>
      <c r="DN55" s="2"/>
      <c r="DO55" s="2"/>
      <c r="DP55" s="2"/>
      <c r="DQ55" s="2"/>
      <c r="DR55" s="2"/>
      <c r="DS55" s="2"/>
      <c r="DT55" s="2"/>
      <c r="DU55" s="2"/>
      <c r="DV55" s="2"/>
      <c r="DW55" s="2"/>
      <c r="DX55" s="2"/>
      <c r="DY55" s="2"/>
      <c r="DZ55" s="2"/>
      <c r="EA55" s="2"/>
      <c r="EB55" s="2"/>
      <c r="EC55" s="2"/>
      <c r="ED55" s="2"/>
      <c r="EE55" s="2"/>
      <c r="EF55" s="2"/>
      <c r="EG55" s="2"/>
      <c r="EH55" s="2"/>
      <c r="EI55" s="2"/>
      <c r="EJ55" s="2"/>
      <c r="EK55" s="2"/>
      <c r="EL55" s="2"/>
      <c r="EM55" s="2"/>
      <c r="EN55" s="2"/>
      <c r="EO55" s="2"/>
      <c r="EP55" s="2"/>
      <c r="EQ55" s="2"/>
      <c r="ER55" s="2"/>
      <c r="ES55" s="2"/>
      <c r="ET55" s="2"/>
      <c r="EU55" s="2"/>
      <c r="EV55" s="2"/>
      <c r="EW55" s="2"/>
      <c r="EX55" s="2"/>
      <c r="EY55" s="2"/>
      <c r="EZ55" s="2"/>
      <c r="FA55" s="2"/>
      <c r="FB55" s="2"/>
      <c r="FC55" s="2"/>
      <c r="FD55" s="2"/>
      <c r="FE55" s="2"/>
      <c r="FF55" s="2"/>
      <c r="FG55" s="2"/>
      <c r="FH55" s="2"/>
      <c r="FI55" s="2"/>
      <c r="FJ55" s="2"/>
      <c r="FK55" s="2"/>
      <c r="FL55" s="2"/>
      <c r="FM55" s="2"/>
      <c r="FN55" s="2"/>
      <c r="FO55" s="2"/>
      <c r="FP55" s="2"/>
      <c r="FQ55" s="2"/>
      <c r="FR55" s="2"/>
      <c r="FS55" s="2"/>
      <c r="FT55" s="2"/>
      <c r="FU55" s="2"/>
      <c r="FV55" s="2"/>
      <c r="FW55" s="2"/>
      <c r="FX55" s="2"/>
      <c r="FY55" s="2"/>
      <c r="FZ55" s="2"/>
      <c r="GA55" s="2"/>
      <c r="GB55" s="2"/>
      <c r="GC55" s="2"/>
      <c r="GD55" s="2"/>
      <c r="GE55" s="2"/>
      <c r="GF55" s="2"/>
      <c r="GG55" s="2"/>
      <c r="GH55" s="2"/>
      <c r="GI55" s="2"/>
      <c r="GJ55" s="2"/>
      <c r="GK55" s="2"/>
      <c r="GL55" s="2"/>
      <c r="GM55" s="2"/>
      <c r="GN55" s="2"/>
      <c r="GO55" s="2"/>
      <c r="GP55" s="2"/>
      <c r="GQ55" s="2"/>
      <c r="GR55" s="2"/>
      <c r="GS55" s="2"/>
      <c r="GT55" s="2"/>
      <c r="GU55" s="2"/>
      <c r="GV55" s="2"/>
      <c r="GW55" s="2"/>
      <c r="GX55" s="2"/>
      <c r="GY55" s="2"/>
      <c r="GZ55" s="2"/>
      <c r="HA55" s="2"/>
      <c r="HB55" s="2"/>
      <c r="HC55" s="2"/>
      <c r="HD55" s="2"/>
      <c r="HE55" s="2"/>
      <c r="HF55" s="2"/>
      <c r="HG55" s="2"/>
      <c r="HH55" s="2"/>
      <c r="HI55" s="2"/>
      <c r="HJ55" s="2"/>
      <c r="HK55" s="2"/>
      <c r="HL55" s="2"/>
      <c r="HM55" s="2"/>
      <c r="HN55" s="2"/>
      <c r="HO55" s="2"/>
      <c r="HP55" s="2"/>
      <c r="HQ55" s="2"/>
      <c r="HR55" s="2"/>
      <c r="HS55" s="2"/>
      <c r="HT55" s="2"/>
      <c r="HU55" s="2"/>
      <c r="HV55" s="2"/>
      <c r="HW55" s="2"/>
      <c r="HX55" s="2"/>
      <c r="HY55" s="2"/>
      <c r="HZ55" s="2"/>
      <c r="IA55" s="2"/>
      <c r="IB55" s="2"/>
      <c r="IC55" s="2"/>
      <c r="ID55" s="2"/>
      <c r="IE55" s="2"/>
      <c r="IF55" s="2"/>
      <c r="IG55" s="2"/>
      <c r="IH55" s="2"/>
      <c r="II55" s="2"/>
      <c r="IJ55" s="2"/>
      <c r="IK55" s="2"/>
      <c r="IL55" s="2"/>
      <c r="IM55" s="2"/>
      <c r="IN55" s="2"/>
      <c r="IO55" s="2"/>
      <c r="IP55" s="2"/>
      <c r="IQ55" s="2"/>
      <c r="IR55" s="2"/>
      <c r="IS55" s="2"/>
      <c r="IT55" s="2"/>
      <c r="IU55" s="2"/>
      <c r="IV55" s="2"/>
    </row>
    <row r="56" spans="1:256" ht="11.85" customHeight="1">
      <c r="A56" s="24" t="s">
        <v>42</v>
      </c>
      <c r="B56" s="28"/>
      <c r="C56" s="26">
        <v>241</v>
      </c>
      <c r="D56" s="41">
        <v>222</v>
      </c>
      <c r="E56" s="277">
        <f t="shared" si="5"/>
        <v>-7.8838174273858979</v>
      </c>
      <c r="F56" s="26">
        <v>1912</v>
      </c>
      <c r="G56" s="27">
        <v>1963</v>
      </c>
      <c r="H56" s="277">
        <f t="shared" si="6"/>
        <v>2.6673640167363954</v>
      </c>
      <c r="I56" s="26">
        <f t="shared" si="7"/>
        <v>2153</v>
      </c>
      <c r="J56" s="26">
        <f t="shared" si="8"/>
        <v>2185</v>
      </c>
      <c r="K56" s="281">
        <f t="shared" si="9"/>
        <v>1.4862981885740867</v>
      </c>
      <c r="L56" s="8"/>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c r="BS56" s="2"/>
      <c r="BT56" s="2"/>
      <c r="BU56" s="2"/>
      <c r="BV56" s="2"/>
      <c r="BW56" s="2"/>
      <c r="BX56" s="2"/>
      <c r="BY56" s="2"/>
      <c r="BZ56" s="2"/>
      <c r="CA56" s="2"/>
      <c r="CB56" s="2"/>
      <c r="CC56" s="2"/>
      <c r="CD56" s="2"/>
      <c r="CE56" s="2"/>
      <c r="CF56" s="2"/>
      <c r="CG56" s="2"/>
      <c r="CH56" s="2"/>
      <c r="CI56" s="2"/>
      <c r="CJ56" s="2"/>
      <c r="CK56" s="2"/>
      <c r="CL56" s="2"/>
      <c r="CM56" s="2"/>
      <c r="CN56" s="2"/>
      <c r="CO56" s="2"/>
      <c r="CP56" s="2"/>
      <c r="CQ56" s="2"/>
      <c r="CR56" s="2"/>
      <c r="CS56" s="2"/>
      <c r="CT56" s="2"/>
      <c r="CU56" s="2"/>
      <c r="CV56" s="2"/>
      <c r="CW56" s="2"/>
      <c r="CX56" s="2"/>
      <c r="CY56" s="2"/>
      <c r="CZ56" s="2"/>
      <c r="DA56" s="2"/>
      <c r="DB56" s="2"/>
      <c r="DC56" s="2"/>
      <c r="DD56" s="2"/>
      <c r="DE56" s="2"/>
      <c r="DF56" s="2"/>
      <c r="DG56" s="2"/>
      <c r="DH56" s="2"/>
      <c r="DI56" s="2"/>
      <c r="DJ56" s="2"/>
      <c r="DK56" s="2"/>
      <c r="DL56" s="2"/>
      <c r="DM56" s="2"/>
      <c r="DN56" s="2"/>
      <c r="DO56" s="2"/>
      <c r="DP56" s="2"/>
      <c r="DQ56" s="2"/>
      <c r="DR56" s="2"/>
      <c r="DS56" s="2"/>
      <c r="DT56" s="2"/>
      <c r="DU56" s="2"/>
      <c r="DV56" s="2"/>
      <c r="DW56" s="2"/>
      <c r="DX56" s="2"/>
      <c r="DY56" s="2"/>
      <c r="DZ56" s="2"/>
      <c r="EA56" s="2"/>
      <c r="EB56" s="2"/>
      <c r="EC56" s="2"/>
      <c r="ED56" s="2"/>
      <c r="EE56" s="2"/>
      <c r="EF56" s="2"/>
      <c r="EG56" s="2"/>
      <c r="EH56" s="2"/>
      <c r="EI56" s="2"/>
      <c r="EJ56" s="2"/>
      <c r="EK56" s="2"/>
      <c r="EL56" s="2"/>
      <c r="EM56" s="2"/>
      <c r="EN56" s="2"/>
      <c r="EO56" s="2"/>
      <c r="EP56" s="2"/>
      <c r="EQ56" s="2"/>
      <c r="ER56" s="2"/>
      <c r="ES56" s="2"/>
      <c r="ET56" s="2"/>
      <c r="EU56" s="2"/>
      <c r="EV56" s="2"/>
      <c r="EW56" s="2"/>
      <c r="EX56" s="2"/>
      <c r="EY56" s="2"/>
      <c r="EZ56" s="2"/>
      <c r="FA56" s="2"/>
      <c r="FB56" s="2"/>
      <c r="FC56" s="2"/>
      <c r="FD56" s="2"/>
      <c r="FE56" s="2"/>
      <c r="FF56" s="2"/>
      <c r="FG56" s="2"/>
      <c r="FH56" s="2"/>
      <c r="FI56" s="2"/>
      <c r="FJ56" s="2"/>
      <c r="FK56" s="2"/>
      <c r="FL56" s="2"/>
      <c r="FM56" s="2"/>
      <c r="FN56" s="2"/>
      <c r="FO56" s="2"/>
      <c r="FP56" s="2"/>
      <c r="FQ56" s="2"/>
      <c r="FR56" s="2"/>
      <c r="FS56" s="2"/>
      <c r="FT56" s="2"/>
      <c r="FU56" s="2"/>
      <c r="FV56" s="2"/>
      <c r="FW56" s="2"/>
      <c r="FX56" s="2"/>
      <c r="FY56" s="2"/>
      <c r="FZ56" s="2"/>
      <c r="GA56" s="2"/>
      <c r="GB56" s="2"/>
      <c r="GC56" s="2"/>
      <c r="GD56" s="2"/>
      <c r="GE56" s="2"/>
      <c r="GF56" s="2"/>
      <c r="GG56" s="2"/>
      <c r="GH56" s="2"/>
      <c r="GI56" s="2"/>
      <c r="GJ56" s="2"/>
      <c r="GK56" s="2"/>
      <c r="GL56" s="2"/>
      <c r="GM56" s="2"/>
      <c r="GN56" s="2"/>
      <c r="GO56" s="2"/>
      <c r="GP56" s="2"/>
      <c r="GQ56" s="2"/>
      <c r="GR56" s="2"/>
      <c r="GS56" s="2"/>
      <c r="GT56" s="2"/>
      <c r="GU56" s="2"/>
      <c r="GV56" s="2"/>
      <c r="GW56" s="2"/>
      <c r="GX56" s="2"/>
      <c r="GY56" s="2"/>
      <c r="GZ56" s="2"/>
      <c r="HA56" s="2"/>
      <c r="HB56" s="2"/>
      <c r="HC56" s="2"/>
      <c r="HD56" s="2"/>
      <c r="HE56" s="2"/>
      <c r="HF56" s="2"/>
      <c r="HG56" s="2"/>
      <c r="HH56" s="2"/>
      <c r="HI56" s="2"/>
      <c r="HJ56" s="2"/>
      <c r="HK56" s="2"/>
      <c r="HL56" s="2"/>
      <c r="HM56" s="2"/>
      <c r="HN56" s="2"/>
      <c r="HO56" s="2"/>
      <c r="HP56" s="2"/>
      <c r="HQ56" s="2"/>
      <c r="HR56" s="2"/>
      <c r="HS56" s="2"/>
      <c r="HT56" s="2"/>
      <c r="HU56" s="2"/>
      <c r="HV56" s="2"/>
      <c r="HW56" s="2"/>
      <c r="HX56" s="2"/>
      <c r="HY56" s="2"/>
      <c r="HZ56" s="2"/>
      <c r="IA56" s="2"/>
      <c r="IB56" s="2"/>
      <c r="IC56" s="2"/>
      <c r="ID56" s="2"/>
      <c r="IE56" s="2"/>
      <c r="IF56" s="2"/>
      <c r="IG56" s="2"/>
      <c r="IH56" s="2"/>
      <c r="II56" s="2"/>
      <c r="IJ56" s="2"/>
      <c r="IK56" s="2"/>
      <c r="IL56" s="2"/>
      <c r="IM56" s="2"/>
      <c r="IN56" s="2"/>
      <c r="IO56" s="2"/>
      <c r="IP56" s="2"/>
      <c r="IQ56" s="2"/>
      <c r="IR56" s="2"/>
      <c r="IS56" s="2"/>
      <c r="IT56" s="2"/>
      <c r="IU56" s="2"/>
      <c r="IV56" s="2"/>
    </row>
    <row r="57" spans="1:256" ht="11.85" customHeight="1">
      <c r="A57" s="24" t="s">
        <v>43</v>
      </c>
      <c r="B57" s="28"/>
      <c r="C57" s="26">
        <v>67</v>
      </c>
      <c r="D57" s="41">
        <v>92</v>
      </c>
      <c r="E57" s="277">
        <f t="shared" si="5"/>
        <v>37.31343283582089</v>
      </c>
      <c r="F57" s="26">
        <v>274</v>
      </c>
      <c r="G57" s="27">
        <v>545</v>
      </c>
      <c r="H57" s="277">
        <f t="shared" si="6"/>
        <v>98.905109489051085</v>
      </c>
      <c r="I57" s="26">
        <f t="shared" si="7"/>
        <v>341</v>
      </c>
      <c r="J57" s="26">
        <f t="shared" si="8"/>
        <v>637</v>
      </c>
      <c r="K57" s="281">
        <f t="shared" si="9"/>
        <v>86.803519061583572</v>
      </c>
      <c r="L57" s="8"/>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c r="BS57" s="2"/>
      <c r="BT57" s="2"/>
      <c r="BU57" s="2"/>
      <c r="BV57" s="2"/>
      <c r="BW57" s="2"/>
      <c r="BX57" s="2"/>
      <c r="BY57" s="2"/>
      <c r="BZ57" s="2"/>
      <c r="CA57" s="2"/>
      <c r="CB57" s="2"/>
      <c r="CC57" s="2"/>
      <c r="CD57" s="2"/>
      <c r="CE57" s="2"/>
      <c r="CF57" s="2"/>
      <c r="CG57" s="2"/>
      <c r="CH57" s="2"/>
      <c r="CI57" s="2"/>
      <c r="CJ57" s="2"/>
      <c r="CK57" s="2"/>
      <c r="CL57" s="2"/>
      <c r="CM57" s="2"/>
      <c r="CN57" s="2"/>
      <c r="CO57" s="2"/>
      <c r="CP57" s="2"/>
      <c r="CQ57" s="2"/>
      <c r="CR57" s="2"/>
      <c r="CS57" s="2"/>
      <c r="CT57" s="2"/>
      <c r="CU57" s="2"/>
      <c r="CV57" s="2"/>
      <c r="CW57" s="2"/>
      <c r="CX57" s="2"/>
      <c r="CY57" s="2"/>
      <c r="CZ57" s="2"/>
      <c r="DA57" s="2"/>
      <c r="DB57" s="2"/>
      <c r="DC57" s="2"/>
      <c r="DD57" s="2"/>
      <c r="DE57" s="2"/>
      <c r="DF57" s="2"/>
      <c r="DG57" s="2"/>
      <c r="DH57" s="2"/>
      <c r="DI57" s="2"/>
      <c r="DJ57" s="2"/>
      <c r="DK57" s="2"/>
      <c r="DL57" s="2"/>
      <c r="DM57" s="2"/>
      <c r="DN57" s="2"/>
      <c r="DO57" s="2"/>
      <c r="DP57" s="2"/>
      <c r="DQ57" s="2"/>
      <c r="DR57" s="2"/>
      <c r="DS57" s="2"/>
      <c r="DT57" s="2"/>
      <c r="DU57" s="2"/>
      <c r="DV57" s="2"/>
      <c r="DW57" s="2"/>
      <c r="DX57" s="2"/>
      <c r="DY57" s="2"/>
      <c r="DZ57" s="2"/>
      <c r="EA57" s="2"/>
      <c r="EB57" s="2"/>
      <c r="EC57" s="2"/>
      <c r="ED57" s="2"/>
      <c r="EE57" s="2"/>
      <c r="EF57" s="2"/>
      <c r="EG57" s="2"/>
      <c r="EH57" s="2"/>
      <c r="EI57" s="2"/>
      <c r="EJ57" s="2"/>
      <c r="EK57" s="2"/>
      <c r="EL57" s="2"/>
      <c r="EM57" s="2"/>
      <c r="EN57" s="2"/>
      <c r="EO57" s="2"/>
      <c r="EP57" s="2"/>
      <c r="EQ57" s="2"/>
      <c r="ER57" s="2"/>
      <c r="ES57" s="2"/>
      <c r="ET57" s="2"/>
      <c r="EU57" s="2"/>
      <c r="EV57" s="2"/>
      <c r="EW57" s="2"/>
      <c r="EX57" s="2"/>
      <c r="EY57" s="2"/>
      <c r="EZ57" s="2"/>
      <c r="FA57" s="2"/>
      <c r="FB57" s="2"/>
      <c r="FC57" s="2"/>
      <c r="FD57" s="2"/>
      <c r="FE57" s="2"/>
      <c r="FF57" s="2"/>
      <c r="FG57" s="2"/>
      <c r="FH57" s="2"/>
      <c r="FI57" s="2"/>
      <c r="FJ57" s="2"/>
      <c r="FK57" s="2"/>
      <c r="FL57" s="2"/>
      <c r="FM57" s="2"/>
      <c r="FN57" s="2"/>
      <c r="FO57" s="2"/>
      <c r="FP57" s="2"/>
      <c r="FQ57" s="2"/>
      <c r="FR57" s="2"/>
      <c r="FS57" s="2"/>
      <c r="FT57" s="2"/>
      <c r="FU57" s="2"/>
      <c r="FV57" s="2"/>
      <c r="FW57" s="2"/>
      <c r="FX57" s="2"/>
      <c r="FY57" s="2"/>
      <c r="FZ57" s="2"/>
      <c r="GA57" s="2"/>
      <c r="GB57" s="2"/>
      <c r="GC57" s="2"/>
      <c r="GD57" s="2"/>
      <c r="GE57" s="2"/>
      <c r="GF57" s="2"/>
      <c r="GG57" s="2"/>
      <c r="GH57" s="2"/>
      <c r="GI57" s="2"/>
      <c r="GJ57" s="2"/>
      <c r="GK57" s="2"/>
      <c r="GL57" s="2"/>
      <c r="GM57" s="2"/>
      <c r="GN57" s="2"/>
      <c r="GO57" s="2"/>
      <c r="GP57" s="2"/>
      <c r="GQ57" s="2"/>
      <c r="GR57" s="2"/>
      <c r="GS57" s="2"/>
      <c r="GT57" s="2"/>
      <c r="GU57" s="2"/>
      <c r="GV57" s="2"/>
      <c r="GW57" s="2"/>
      <c r="GX57" s="2"/>
      <c r="GY57" s="2"/>
      <c r="GZ57" s="2"/>
      <c r="HA57" s="2"/>
      <c r="HB57" s="2"/>
      <c r="HC57" s="2"/>
      <c r="HD57" s="2"/>
      <c r="HE57" s="2"/>
      <c r="HF57" s="2"/>
      <c r="HG57" s="2"/>
      <c r="HH57" s="2"/>
      <c r="HI57" s="2"/>
      <c r="HJ57" s="2"/>
      <c r="HK57" s="2"/>
      <c r="HL57" s="2"/>
      <c r="HM57" s="2"/>
      <c r="HN57" s="2"/>
      <c r="HO57" s="2"/>
      <c r="HP57" s="2"/>
      <c r="HQ57" s="2"/>
      <c r="HR57" s="2"/>
      <c r="HS57" s="2"/>
      <c r="HT57" s="2"/>
      <c r="HU57" s="2"/>
      <c r="HV57" s="2"/>
      <c r="HW57" s="2"/>
      <c r="HX57" s="2"/>
      <c r="HY57" s="2"/>
      <c r="HZ57" s="2"/>
      <c r="IA57" s="2"/>
      <c r="IB57" s="2"/>
      <c r="IC57" s="2"/>
      <c r="ID57" s="2"/>
      <c r="IE57" s="2"/>
      <c r="IF57" s="2"/>
      <c r="IG57" s="2"/>
      <c r="IH57" s="2"/>
      <c r="II57" s="2"/>
      <c r="IJ57" s="2"/>
      <c r="IK57" s="2"/>
      <c r="IL57" s="2"/>
      <c r="IM57" s="2"/>
      <c r="IN57" s="2"/>
      <c r="IO57" s="2"/>
      <c r="IP57" s="2"/>
      <c r="IQ57" s="2"/>
      <c r="IR57" s="2"/>
      <c r="IS57" s="2"/>
      <c r="IT57" s="2"/>
      <c r="IU57" s="2"/>
      <c r="IV57" s="2"/>
    </row>
    <row r="58" spans="1:256" ht="11.85" customHeight="1">
      <c r="A58" s="24" t="s">
        <v>44</v>
      </c>
      <c r="B58" s="28"/>
      <c r="C58" s="26">
        <v>59</v>
      </c>
      <c r="D58" s="41">
        <v>32</v>
      </c>
      <c r="E58" s="277">
        <f t="shared" si="5"/>
        <v>-45.762711864406782</v>
      </c>
      <c r="F58" s="26">
        <v>54</v>
      </c>
      <c r="G58" s="27">
        <v>72</v>
      </c>
      <c r="H58" s="277">
        <f t="shared" si="6"/>
        <v>33.333333333333329</v>
      </c>
      <c r="I58" s="26">
        <f t="shared" si="7"/>
        <v>113</v>
      </c>
      <c r="J58" s="26">
        <f t="shared" si="8"/>
        <v>104</v>
      </c>
      <c r="K58" s="281">
        <f t="shared" si="9"/>
        <v>-7.9646017699115053</v>
      </c>
      <c r="L58" s="8"/>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c r="BR58" s="2"/>
      <c r="BS58" s="2"/>
      <c r="BT58" s="2"/>
      <c r="BU58" s="2"/>
      <c r="BV58" s="2"/>
      <c r="BW58" s="2"/>
      <c r="BX58" s="2"/>
      <c r="BY58" s="2"/>
      <c r="BZ58" s="2"/>
      <c r="CA58" s="2"/>
      <c r="CB58" s="2"/>
      <c r="CC58" s="2"/>
      <c r="CD58" s="2"/>
      <c r="CE58" s="2"/>
      <c r="CF58" s="2"/>
      <c r="CG58" s="2"/>
      <c r="CH58" s="2"/>
      <c r="CI58" s="2"/>
      <c r="CJ58" s="2"/>
      <c r="CK58" s="2"/>
      <c r="CL58" s="2"/>
      <c r="CM58" s="2"/>
      <c r="CN58" s="2"/>
      <c r="CO58" s="2"/>
      <c r="CP58" s="2"/>
      <c r="CQ58" s="2"/>
      <c r="CR58" s="2"/>
      <c r="CS58" s="2"/>
      <c r="CT58" s="2"/>
      <c r="CU58" s="2"/>
      <c r="CV58" s="2"/>
      <c r="CW58" s="2"/>
      <c r="CX58" s="2"/>
      <c r="CY58" s="2"/>
      <c r="CZ58" s="2"/>
      <c r="DA58" s="2"/>
      <c r="DB58" s="2"/>
      <c r="DC58" s="2"/>
      <c r="DD58" s="2"/>
      <c r="DE58" s="2"/>
      <c r="DF58" s="2"/>
      <c r="DG58" s="2"/>
      <c r="DH58" s="2"/>
      <c r="DI58" s="2"/>
      <c r="DJ58" s="2"/>
      <c r="DK58" s="2"/>
      <c r="DL58" s="2"/>
      <c r="DM58" s="2"/>
      <c r="DN58" s="2"/>
      <c r="DO58" s="2"/>
      <c r="DP58" s="2"/>
      <c r="DQ58" s="2"/>
      <c r="DR58" s="2"/>
      <c r="DS58" s="2"/>
      <c r="DT58" s="2"/>
      <c r="DU58" s="2"/>
      <c r="DV58" s="2"/>
      <c r="DW58" s="2"/>
      <c r="DX58" s="2"/>
      <c r="DY58" s="2"/>
      <c r="DZ58" s="2"/>
      <c r="EA58" s="2"/>
      <c r="EB58" s="2"/>
      <c r="EC58" s="2"/>
      <c r="ED58" s="2"/>
      <c r="EE58" s="2"/>
      <c r="EF58" s="2"/>
      <c r="EG58" s="2"/>
      <c r="EH58" s="2"/>
      <c r="EI58" s="2"/>
      <c r="EJ58" s="2"/>
      <c r="EK58" s="2"/>
      <c r="EL58" s="2"/>
      <c r="EM58" s="2"/>
      <c r="EN58" s="2"/>
      <c r="EO58" s="2"/>
      <c r="EP58" s="2"/>
      <c r="EQ58" s="2"/>
      <c r="ER58" s="2"/>
      <c r="ES58" s="2"/>
      <c r="ET58" s="2"/>
      <c r="EU58" s="2"/>
      <c r="EV58" s="2"/>
      <c r="EW58" s="2"/>
      <c r="EX58" s="2"/>
      <c r="EY58" s="2"/>
      <c r="EZ58" s="2"/>
      <c r="FA58" s="2"/>
      <c r="FB58" s="2"/>
      <c r="FC58" s="2"/>
      <c r="FD58" s="2"/>
      <c r="FE58" s="2"/>
      <c r="FF58" s="2"/>
      <c r="FG58" s="2"/>
      <c r="FH58" s="2"/>
      <c r="FI58" s="2"/>
      <c r="FJ58" s="2"/>
      <c r="FK58" s="2"/>
      <c r="FL58" s="2"/>
      <c r="FM58" s="2"/>
      <c r="FN58" s="2"/>
      <c r="FO58" s="2"/>
      <c r="FP58" s="2"/>
      <c r="FQ58" s="2"/>
      <c r="FR58" s="2"/>
      <c r="FS58" s="2"/>
      <c r="FT58" s="2"/>
      <c r="FU58" s="2"/>
      <c r="FV58" s="2"/>
      <c r="FW58" s="2"/>
      <c r="FX58" s="2"/>
      <c r="FY58" s="2"/>
      <c r="FZ58" s="2"/>
      <c r="GA58" s="2"/>
      <c r="GB58" s="2"/>
      <c r="GC58" s="2"/>
      <c r="GD58" s="2"/>
      <c r="GE58" s="2"/>
      <c r="GF58" s="2"/>
      <c r="GG58" s="2"/>
      <c r="GH58" s="2"/>
      <c r="GI58" s="2"/>
      <c r="GJ58" s="2"/>
      <c r="GK58" s="2"/>
      <c r="GL58" s="2"/>
      <c r="GM58" s="2"/>
      <c r="GN58" s="2"/>
      <c r="GO58" s="2"/>
      <c r="GP58" s="2"/>
      <c r="GQ58" s="2"/>
      <c r="GR58" s="2"/>
      <c r="GS58" s="2"/>
      <c r="GT58" s="2"/>
      <c r="GU58" s="2"/>
      <c r="GV58" s="2"/>
      <c r="GW58" s="2"/>
      <c r="GX58" s="2"/>
      <c r="GY58" s="2"/>
      <c r="GZ58" s="2"/>
      <c r="HA58" s="2"/>
      <c r="HB58" s="2"/>
      <c r="HC58" s="2"/>
      <c r="HD58" s="2"/>
      <c r="HE58" s="2"/>
      <c r="HF58" s="2"/>
      <c r="HG58" s="2"/>
      <c r="HH58" s="2"/>
      <c r="HI58" s="2"/>
      <c r="HJ58" s="2"/>
      <c r="HK58" s="2"/>
      <c r="HL58" s="2"/>
      <c r="HM58" s="2"/>
      <c r="HN58" s="2"/>
      <c r="HO58" s="2"/>
      <c r="HP58" s="2"/>
      <c r="HQ58" s="2"/>
      <c r="HR58" s="2"/>
      <c r="HS58" s="2"/>
      <c r="HT58" s="2"/>
      <c r="HU58" s="2"/>
      <c r="HV58" s="2"/>
      <c r="HW58" s="2"/>
      <c r="HX58" s="2"/>
      <c r="HY58" s="2"/>
      <c r="HZ58" s="2"/>
      <c r="IA58" s="2"/>
      <c r="IB58" s="2"/>
      <c r="IC58" s="2"/>
      <c r="ID58" s="2"/>
      <c r="IE58" s="2"/>
      <c r="IF58" s="2"/>
      <c r="IG58" s="2"/>
      <c r="IH58" s="2"/>
      <c r="II58" s="2"/>
      <c r="IJ58" s="2"/>
      <c r="IK58" s="2"/>
      <c r="IL58" s="2"/>
      <c r="IM58" s="2"/>
      <c r="IN58" s="2"/>
      <c r="IO58" s="2"/>
      <c r="IP58" s="2"/>
      <c r="IQ58" s="2"/>
      <c r="IR58" s="2"/>
      <c r="IS58" s="2"/>
      <c r="IT58" s="2"/>
      <c r="IU58" s="2"/>
      <c r="IV58" s="2"/>
    </row>
    <row r="59" spans="1:256" ht="11.85" customHeight="1">
      <c r="A59" s="30" t="s">
        <v>45</v>
      </c>
      <c r="B59" s="34"/>
      <c r="C59" s="32">
        <v>136</v>
      </c>
      <c r="D59" s="41">
        <v>149</v>
      </c>
      <c r="E59" s="278">
        <f t="shared" si="5"/>
        <v>9.5588235294117752</v>
      </c>
      <c r="F59" s="32">
        <v>179</v>
      </c>
      <c r="G59" s="27">
        <v>333</v>
      </c>
      <c r="H59" s="278">
        <f t="shared" si="6"/>
        <v>86.033519553072637</v>
      </c>
      <c r="I59" s="32">
        <f t="shared" si="7"/>
        <v>315</v>
      </c>
      <c r="J59" s="32">
        <f t="shared" si="8"/>
        <v>482</v>
      </c>
      <c r="K59" s="282">
        <f t="shared" si="9"/>
        <v>53.015873015873005</v>
      </c>
      <c r="L59" s="8"/>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c r="BP59" s="2"/>
      <c r="BQ59" s="2"/>
      <c r="BR59" s="2"/>
      <c r="BS59" s="2"/>
      <c r="BT59" s="2"/>
      <c r="BU59" s="2"/>
      <c r="BV59" s="2"/>
      <c r="BW59" s="2"/>
      <c r="BX59" s="2"/>
      <c r="BY59" s="2"/>
      <c r="BZ59" s="2"/>
      <c r="CA59" s="2"/>
      <c r="CB59" s="2"/>
      <c r="CC59" s="2"/>
      <c r="CD59" s="2"/>
      <c r="CE59" s="2"/>
      <c r="CF59" s="2"/>
      <c r="CG59" s="2"/>
      <c r="CH59" s="2"/>
      <c r="CI59" s="2"/>
      <c r="CJ59" s="2"/>
      <c r="CK59" s="2"/>
      <c r="CL59" s="2"/>
      <c r="CM59" s="2"/>
      <c r="CN59" s="2"/>
      <c r="CO59" s="2"/>
      <c r="CP59" s="2"/>
      <c r="CQ59" s="2"/>
      <c r="CR59" s="2"/>
      <c r="CS59" s="2"/>
      <c r="CT59" s="2"/>
      <c r="CU59" s="2"/>
      <c r="CV59" s="2"/>
      <c r="CW59" s="2"/>
      <c r="CX59" s="2"/>
      <c r="CY59" s="2"/>
      <c r="CZ59" s="2"/>
      <c r="DA59" s="2"/>
      <c r="DB59" s="2"/>
      <c r="DC59" s="2"/>
      <c r="DD59" s="2"/>
      <c r="DE59" s="2"/>
      <c r="DF59" s="2"/>
      <c r="DG59" s="2"/>
      <c r="DH59" s="2"/>
      <c r="DI59" s="2"/>
      <c r="DJ59" s="2"/>
      <c r="DK59" s="2"/>
      <c r="DL59" s="2"/>
      <c r="DM59" s="2"/>
      <c r="DN59" s="2"/>
      <c r="DO59" s="2"/>
      <c r="DP59" s="2"/>
      <c r="DQ59" s="2"/>
      <c r="DR59" s="2"/>
      <c r="DS59" s="2"/>
      <c r="DT59" s="2"/>
      <c r="DU59" s="2"/>
      <c r="DV59" s="2"/>
      <c r="DW59" s="2"/>
      <c r="DX59" s="2"/>
      <c r="DY59" s="2"/>
      <c r="DZ59" s="2"/>
      <c r="EA59" s="2"/>
      <c r="EB59" s="2"/>
      <c r="EC59" s="2"/>
      <c r="ED59" s="2"/>
      <c r="EE59" s="2"/>
      <c r="EF59" s="2"/>
      <c r="EG59" s="2"/>
      <c r="EH59" s="2"/>
      <c r="EI59" s="2"/>
      <c r="EJ59" s="2"/>
      <c r="EK59" s="2"/>
      <c r="EL59" s="2"/>
      <c r="EM59" s="2"/>
      <c r="EN59" s="2"/>
      <c r="EO59" s="2"/>
      <c r="EP59" s="2"/>
      <c r="EQ59" s="2"/>
      <c r="ER59" s="2"/>
      <c r="ES59" s="2"/>
      <c r="ET59" s="2"/>
      <c r="EU59" s="2"/>
      <c r="EV59" s="2"/>
      <c r="EW59" s="2"/>
      <c r="EX59" s="2"/>
      <c r="EY59" s="2"/>
      <c r="EZ59" s="2"/>
      <c r="FA59" s="2"/>
      <c r="FB59" s="2"/>
      <c r="FC59" s="2"/>
      <c r="FD59" s="2"/>
      <c r="FE59" s="2"/>
      <c r="FF59" s="2"/>
      <c r="FG59" s="2"/>
      <c r="FH59" s="2"/>
      <c r="FI59" s="2"/>
      <c r="FJ59" s="2"/>
      <c r="FK59" s="2"/>
      <c r="FL59" s="2"/>
      <c r="FM59" s="2"/>
      <c r="FN59" s="2"/>
      <c r="FO59" s="2"/>
      <c r="FP59" s="2"/>
      <c r="FQ59" s="2"/>
      <c r="FR59" s="2"/>
      <c r="FS59" s="2"/>
      <c r="FT59" s="2"/>
      <c r="FU59" s="2"/>
      <c r="FV59" s="2"/>
      <c r="FW59" s="2"/>
      <c r="FX59" s="2"/>
      <c r="FY59" s="2"/>
      <c r="FZ59" s="2"/>
      <c r="GA59" s="2"/>
      <c r="GB59" s="2"/>
      <c r="GC59" s="2"/>
      <c r="GD59" s="2"/>
      <c r="GE59" s="2"/>
      <c r="GF59" s="2"/>
      <c r="GG59" s="2"/>
      <c r="GH59" s="2"/>
      <c r="GI59" s="2"/>
      <c r="GJ59" s="2"/>
      <c r="GK59" s="2"/>
      <c r="GL59" s="2"/>
      <c r="GM59" s="2"/>
      <c r="GN59" s="2"/>
      <c r="GO59" s="2"/>
      <c r="GP59" s="2"/>
      <c r="GQ59" s="2"/>
      <c r="GR59" s="2"/>
      <c r="GS59" s="2"/>
      <c r="GT59" s="2"/>
      <c r="GU59" s="2"/>
      <c r="GV59" s="2"/>
      <c r="GW59" s="2"/>
      <c r="GX59" s="2"/>
      <c r="GY59" s="2"/>
      <c r="GZ59" s="2"/>
      <c r="HA59" s="2"/>
      <c r="HB59" s="2"/>
      <c r="HC59" s="2"/>
      <c r="HD59" s="2"/>
      <c r="HE59" s="2"/>
      <c r="HF59" s="2"/>
      <c r="HG59" s="2"/>
      <c r="HH59" s="2"/>
      <c r="HI59" s="2"/>
      <c r="HJ59" s="2"/>
      <c r="HK59" s="2"/>
      <c r="HL59" s="2"/>
      <c r="HM59" s="2"/>
      <c r="HN59" s="2"/>
      <c r="HO59" s="2"/>
      <c r="HP59" s="2"/>
      <c r="HQ59" s="2"/>
      <c r="HR59" s="2"/>
      <c r="HS59" s="2"/>
      <c r="HT59" s="2"/>
      <c r="HU59" s="2"/>
      <c r="HV59" s="2"/>
      <c r="HW59" s="2"/>
      <c r="HX59" s="2"/>
      <c r="HY59" s="2"/>
      <c r="HZ59" s="2"/>
      <c r="IA59" s="2"/>
      <c r="IB59" s="2"/>
      <c r="IC59" s="2"/>
      <c r="ID59" s="2"/>
      <c r="IE59" s="2"/>
      <c r="IF59" s="2"/>
      <c r="IG59" s="2"/>
      <c r="IH59" s="2"/>
      <c r="II59" s="2"/>
      <c r="IJ59" s="2"/>
      <c r="IK59" s="2"/>
      <c r="IL59" s="2"/>
      <c r="IM59" s="2"/>
      <c r="IN59" s="2"/>
      <c r="IO59" s="2"/>
      <c r="IP59" s="2"/>
      <c r="IQ59" s="2"/>
      <c r="IR59" s="2"/>
      <c r="IS59" s="2"/>
      <c r="IT59" s="2"/>
      <c r="IU59" s="2"/>
      <c r="IV59" s="2"/>
    </row>
    <row r="60" spans="1:256" ht="12" customHeight="1" thickBot="1">
      <c r="A60" s="17" t="s">
        <v>46</v>
      </c>
      <c r="B60" s="44"/>
      <c r="C60" s="45">
        <f>SUM(C23:C41,C44:C59)</f>
        <v>3271</v>
      </c>
      <c r="D60" s="45">
        <f>SUM(D23:D41,D44:D59)</f>
        <v>3477</v>
      </c>
      <c r="E60" s="279">
        <f t="shared" si="5"/>
        <v>6.2977682665851464</v>
      </c>
      <c r="F60" s="45">
        <f>SUM(F23:F41,F44:F59)</f>
        <v>11827</v>
      </c>
      <c r="G60" s="45">
        <f>SUM(G23:G41,G44:G59)</f>
        <v>11645</v>
      </c>
      <c r="H60" s="279">
        <f t="shared" si="6"/>
        <v>-1.5388517798258228</v>
      </c>
      <c r="I60" s="45">
        <f t="shared" si="7"/>
        <v>15098</v>
      </c>
      <c r="J60" s="45">
        <f t="shared" si="8"/>
        <v>15122</v>
      </c>
      <c r="K60" s="286">
        <f t="shared" si="9"/>
        <v>0.15896145184792765</v>
      </c>
      <c r="L60" s="8"/>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2"/>
      <c r="BU60" s="2"/>
      <c r="BV60" s="2"/>
      <c r="BW60" s="2"/>
      <c r="BX60" s="2"/>
      <c r="BY60" s="2"/>
      <c r="BZ60" s="2"/>
      <c r="CA60" s="2"/>
      <c r="CB60" s="2"/>
      <c r="CC60" s="2"/>
      <c r="CD60" s="2"/>
      <c r="CE60" s="2"/>
      <c r="CF60" s="2"/>
      <c r="CG60" s="2"/>
      <c r="CH60" s="2"/>
      <c r="CI60" s="2"/>
      <c r="CJ60" s="2"/>
      <c r="CK60" s="2"/>
      <c r="CL60" s="2"/>
      <c r="CM60" s="2"/>
      <c r="CN60" s="2"/>
      <c r="CO60" s="2"/>
      <c r="CP60" s="2"/>
      <c r="CQ60" s="2"/>
      <c r="CR60" s="2"/>
      <c r="CS60" s="2"/>
      <c r="CT60" s="2"/>
      <c r="CU60" s="2"/>
      <c r="CV60" s="2"/>
      <c r="CW60" s="2"/>
      <c r="CX60" s="2"/>
      <c r="CY60" s="2"/>
      <c r="CZ60" s="2"/>
      <c r="DA60" s="2"/>
      <c r="DB60" s="2"/>
      <c r="DC60" s="2"/>
      <c r="DD60" s="2"/>
      <c r="DE60" s="2"/>
      <c r="DF60" s="2"/>
      <c r="DG60" s="2"/>
      <c r="DH60" s="2"/>
      <c r="DI60" s="2"/>
      <c r="DJ60" s="2"/>
      <c r="DK60" s="2"/>
      <c r="DL60" s="2"/>
      <c r="DM60" s="2"/>
      <c r="DN60" s="2"/>
      <c r="DO60" s="2"/>
      <c r="DP60" s="2"/>
      <c r="DQ60" s="2"/>
      <c r="DR60" s="2"/>
      <c r="DS60" s="2"/>
      <c r="DT60" s="2"/>
      <c r="DU60" s="2"/>
      <c r="DV60" s="2"/>
      <c r="DW60" s="2"/>
      <c r="DX60" s="2"/>
      <c r="DY60" s="2"/>
      <c r="DZ60" s="2"/>
      <c r="EA60" s="2"/>
      <c r="EB60" s="2"/>
      <c r="EC60" s="2"/>
      <c r="ED60" s="2"/>
      <c r="EE60" s="2"/>
      <c r="EF60" s="2"/>
      <c r="EG60" s="2"/>
      <c r="EH60" s="2"/>
      <c r="EI60" s="2"/>
      <c r="EJ60" s="2"/>
      <c r="EK60" s="2"/>
      <c r="EL60" s="2"/>
      <c r="EM60" s="2"/>
      <c r="EN60" s="2"/>
      <c r="EO60" s="2"/>
      <c r="EP60" s="2"/>
      <c r="EQ60" s="2"/>
      <c r="ER60" s="2"/>
      <c r="ES60" s="2"/>
      <c r="ET60" s="2"/>
      <c r="EU60" s="2"/>
      <c r="EV60" s="2"/>
      <c r="EW60" s="2"/>
      <c r="EX60" s="2"/>
      <c r="EY60" s="2"/>
      <c r="EZ60" s="2"/>
      <c r="FA60" s="2"/>
      <c r="FB60" s="2"/>
      <c r="FC60" s="2"/>
      <c r="FD60" s="2"/>
      <c r="FE60" s="2"/>
      <c r="FF60" s="2"/>
      <c r="FG60" s="2"/>
      <c r="FH60" s="2"/>
      <c r="FI60" s="2"/>
      <c r="FJ60" s="2"/>
      <c r="FK60" s="2"/>
      <c r="FL60" s="2"/>
      <c r="FM60" s="2"/>
      <c r="FN60" s="2"/>
      <c r="FO60" s="2"/>
      <c r="FP60" s="2"/>
      <c r="FQ60" s="2"/>
      <c r="FR60" s="2"/>
      <c r="FS60" s="2"/>
      <c r="FT60" s="2"/>
      <c r="FU60" s="2"/>
      <c r="FV60" s="2"/>
      <c r="FW60" s="2"/>
      <c r="FX60" s="2"/>
      <c r="FY60" s="2"/>
      <c r="FZ60" s="2"/>
      <c r="GA60" s="2"/>
      <c r="GB60" s="2"/>
      <c r="GC60" s="2"/>
      <c r="GD60" s="2"/>
      <c r="GE60" s="2"/>
      <c r="GF60" s="2"/>
      <c r="GG60" s="2"/>
      <c r="GH60" s="2"/>
      <c r="GI60" s="2"/>
      <c r="GJ60" s="2"/>
      <c r="GK60" s="2"/>
      <c r="GL60" s="2"/>
      <c r="GM60" s="2"/>
      <c r="GN60" s="2"/>
      <c r="GO60" s="2"/>
      <c r="GP60" s="2"/>
      <c r="GQ60" s="2"/>
      <c r="GR60" s="2"/>
      <c r="GS60" s="2"/>
      <c r="GT60" s="2"/>
      <c r="GU60" s="2"/>
      <c r="GV60" s="2"/>
      <c r="GW60" s="2"/>
      <c r="GX60" s="2"/>
      <c r="GY60" s="2"/>
      <c r="GZ60" s="2"/>
      <c r="HA60" s="2"/>
      <c r="HB60" s="2"/>
      <c r="HC60" s="2"/>
      <c r="HD60" s="2"/>
      <c r="HE60" s="2"/>
      <c r="HF60" s="2"/>
      <c r="HG60" s="2"/>
      <c r="HH60" s="2"/>
      <c r="HI60" s="2"/>
      <c r="HJ60" s="2"/>
      <c r="HK60" s="2"/>
      <c r="HL60" s="2"/>
      <c r="HM60" s="2"/>
      <c r="HN60" s="2"/>
      <c r="HO60" s="2"/>
      <c r="HP60" s="2"/>
      <c r="HQ60" s="2"/>
      <c r="HR60" s="2"/>
      <c r="HS60" s="2"/>
      <c r="HT60" s="2"/>
      <c r="HU60" s="2"/>
      <c r="HV60" s="2"/>
      <c r="HW60" s="2"/>
      <c r="HX60" s="2"/>
      <c r="HY60" s="2"/>
      <c r="HZ60" s="2"/>
      <c r="IA60" s="2"/>
      <c r="IB60" s="2"/>
      <c r="IC60" s="2"/>
      <c r="ID60" s="2"/>
      <c r="IE60" s="2"/>
      <c r="IF60" s="2"/>
      <c r="IG60" s="2"/>
      <c r="IH60" s="2"/>
      <c r="II60" s="2"/>
      <c r="IJ60" s="2"/>
      <c r="IK60" s="2"/>
      <c r="IL60" s="2"/>
      <c r="IM60" s="2"/>
      <c r="IN60" s="2"/>
      <c r="IO60" s="2"/>
      <c r="IP60" s="2"/>
      <c r="IQ60" s="2"/>
      <c r="IR60" s="2"/>
      <c r="IS60" s="2"/>
      <c r="IT60" s="2"/>
      <c r="IU60" s="2"/>
      <c r="IV60" s="2"/>
    </row>
    <row r="61" spans="1:256" ht="12" customHeight="1">
      <c r="A61" s="53" t="str">
        <f>Titles!$A$8</f>
        <v>Data for  2020 and  2021  based on 2016 Census Definitions.</v>
      </c>
      <c r="B61" s="338"/>
      <c r="C61" s="339"/>
      <c r="D61" s="339"/>
      <c r="E61" s="339"/>
      <c r="F61" s="53"/>
      <c r="G61" s="338"/>
      <c r="H61" s="338"/>
      <c r="I61" s="338"/>
      <c r="J61" s="338"/>
      <c r="K61" s="416"/>
      <c r="L61" s="8"/>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c r="BS61" s="2"/>
      <c r="BT61" s="2"/>
      <c r="BU61" s="2"/>
      <c r="BV61" s="2"/>
      <c r="BW61" s="2"/>
      <c r="BX61" s="2"/>
      <c r="BY61" s="2"/>
      <c r="BZ61" s="2"/>
      <c r="CA61" s="2"/>
      <c r="CB61" s="2"/>
      <c r="CC61" s="2"/>
      <c r="CD61" s="2"/>
      <c r="CE61" s="2"/>
      <c r="CF61" s="2"/>
      <c r="CG61" s="2"/>
      <c r="CH61" s="2"/>
      <c r="CI61" s="2"/>
      <c r="CJ61" s="2"/>
      <c r="CK61" s="2"/>
      <c r="CL61" s="2"/>
      <c r="CM61" s="2"/>
      <c r="CN61" s="2"/>
      <c r="CO61" s="2"/>
      <c r="CP61" s="2"/>
      <c r="CQ61" s="2"/>
      <c r="CR61" s="2"/>
      <c r="CS61" s="2"/>
      <c r="CT61" s="2"/>
      <c r="CU61" s="2"/>
      <c r="CV61" s="2"/>
      <c r="CW61" s="2"/>
      <c r="CX61" s="2"/>
      <c r="CY61" s="2"/>
      <c r="CZ61" s="2"/>
      <c r="DA61" s="2"/>
      <c r="DB61" s="2"/>
      <c r="DC61" s="2"/>
      <c r="DD61" s="2"/>
      <c r="DE61" s="2"/>
      <c r="DF61" s="2"/>
      <c r="DG61" s="2"/>
      <c r="DH61" s="2"/>
      <c r="DI61" s="2"/>
      <c r="DJ61" s="2"/>
      <c r="DK61" s="2"/>
      <c r="DL61" s="2"/>
      <c r="DM61" s="2"/>
      <c r="DN61" s="2"/>
      <c r="DO61" s="2"/>
      <c r="DP61" s="2"/>
      <c r="DQ61" s="2"/>
      <c r="DR61" s="2"/>
      <c r="DS61" s="2"/>
      <c r="DT61" s="2"/>
      <c r="DU61" s="2"/>
      <c r="DV61" s="2"/>
      <c r="DW61" s="2"/>
      <c r="DX61" s="2"/>
      <c r="DY61" s="2"/>
      <c r="DZ61" s="2"/>
      <c r="EA61" s="2"/>
      <c r="EB61" s="2"/>
      <c r="EC61" s="2"/>
      <c r="ED61" s="2"/>
      <c r="EE61" s="2"/>
      <c r="EF61" s="2"/>
      <c r="EG61" s="2"/>
      <c r="EH61" s="2"/>
      <c r="EI61" s="2"/>
      <c r="EJ61" s="2"/>
      <c r="EK61" s="2"/>
      <c r="EL61" s="2"/>
      <c r="EM61" s="2"/>
      <c r="EN61" s="2"/>
      <c r="EO61" s="2"/>
      <c r="EP61" s="2"/>
      <c r="EQ61" s="2"/>
      <c r="ER61" s="2"/>
      <c r="ES61" s="2"/>
      <c r="ET61" s="2"/>
      <c r="EU61" s="2"/>
      <c r="EV61" s="2"/>
      <c r="EW61" s="2"/>
      <c r="EX61" s="2"/>
      <c r="EY61" s="2"/>
      <c r="EZ61" s="2"/>
      <c r="FA61" s="2"/>
      <c r="FB61" s="2"/>
      <c r="FC61" s="2"/>
      <c r="FD61" s="2"/>
      <c r="FE61" s="2"/>
      <c r="FF61" s="2"/>
      <c r="FG61" s="2"/>
      <c r="FH61" s="2"/>
      <c r="FI61" s="2"/>
      <c r="FJ61" s="2"/>
      <c r="FK61" s="2"/>
      <c r="FL61" s="2"/>
      <c r="FM61" s="2"/>
      <c r="FN61" s="2"/>
      <c r="FO61" s="2"/>
      <c r="FP61" s="2"/>
      <c r="FQ61" s="2"/>
      <c r="FR61" s="2"/>
      <c r="FS61" s="2"/>
      <c r="FT61" s="2"/>
      <c r="FU61" s="2"/>
      <c r="FV61" s="2"/>
      <c r="FW61" s="2"/>
      <c r="FX61" s="2"/>
      <c r="FY61" s="2"/>
      <c r="FZ61" s="2"/>
      <c r="GA61" s="2"/>
      <c r="GB61" s="2"/>
      <c r="GC61" s="2"/>
      <c r="GD61" s="2"/>
      <c r="GE61" s="2"/>
      <c r="GF61" s="2"/>
      <c r="GG61" s="2"/>
      <c r="GH61" s="2"/>
      <c r="GI61" s="2"/>
      <c r="GJ61" s="2"/>
      <c r="GK61" s="2"/>
      <c r="GL61" s="2"/>
      <c r="GM61" s="2"/>
      <c r="GN61" s="2"/>
      <c r="GO61" s="2"/>
      <c r="GP61" s="2"/>
      <c r="GQ61" s="2"/>
      <c r="GR61" s="2"/>
      <c r="GS61" s="2"/>
      <c r="GT61" s="2"/>
      <c r="GU61" s="2"/>
      <c r="GV61" s="2"/>
      <c r="GW61" s="2"/>
      <c r="GX61" s="2"/>
      <c r="GY61" s="2"/>
      <c r="GZ61" s="2"/>
      <c r="HA61" s="2"/>
      <c r="HB61" s="2"/>
      <c r="HC61" s="2"/>
      <c r="HD61" s="2"/>
      <c r="HE61" s="2"/>
      <c r="HF61" s="2"/>
      <c r="HG61" s="2"/>
      <c r="HH61" s="2"/>
      <c r="HI61" s="2"/>
      <c r="HJ61" s="2"/>
      <c r="HK61" s="2"/>
      <c r="HL61" s="2"/>
      <c r="HM61" s="2"/>
      <c r="HN61" s="2"/>
      <c r="HO61" s="2"/>
      <c r="HP61" s="2"/>
      <c r="HQ61" s="2"/>
      <c r="HR61" s="2"/>
      <c r="HS61" s="2"/>
      <c r="HT61" s="2"/>
      <c r="HU61" s="2"/>
      <c r="HV61" s="2"/>
      <c r="HW61" s="2"/>
      <c r="HX61" s="2"/>
      <c r="HY61" s="2"/>
      <c r="HZ61" s="2"/>
      <c r="IA61" s="2"/>
      <c r="IB61" s="2"/>
      <c r="IC61" s="2"/>
      <c r="ID61" s="2"/>
      <c r="IE61" s="2"/>
      <c r="IF61" s="2"/>
      <c r="IG61" s="2"/>
      <c r="IH61" s="2"/>
      <c r="II61" s="2"/>
      <c r="IJ61" s="2"/>
      <c r="IK61" s="2"/>
      <c r="IL61" s="2"/>
      <c r="IM61" s="2"/>
      <c r="IN61" s="2"/>
      <c r="IO61" s="2"/>
      <c r="IP61" s="2"/>
      <c r="IQ61" s="2"/>
      <c r="IR61" s="2"/>
      <c r="IS61" s="2"/>
      <c r="IT61" s="2"/>
      <c r="IU61" s="2"/>
      <c r="IV61" s="2"/>
    </row>
    <row r="62" spans="1:256" s="343" customFormat="1" ht="12" customHeight="1">
      <c r="A62" s="404" t="str">
        <f>Titles!$A$10</f>
        <v>Source: CMHC Starts and Completion Survey, Market Absorption Survey</v>
      </c>
      <c r="B62" s="344"/>
      <c r="C62" s="344"/>
      <c r="D62" s="344"/>
      <c r="E62" s="344"/>
      <c r="F62" s="404"/>
      <c r="G62" s="344"/>
      <c r="H62" s="344"/>
      <c r="I62" s="344"/>
      <c r="J62" s="344"/>
      <c r="K62" s="341"/>
      <c r="L62" s="342"/>
      <c r="M62" s="342"/>
      <c r="N62" s="342"/>
      <c r="O62" s="342"/>
      <c r="P62" s="342"/>
      <c r="Q62" s="342"/>
      <c r="R62" s="342"/>
      <c r="S62" s="342"/>
      <c r="T62" s="342"/>
      <c r="U62" s="342"/>
      <c r="V62" s="342"/>
      <c r="W62" s="342"/>
      <c r="X62" s="342"/>
      <c r="Y62" s="342"/>
      <c r="Z62" s="342"/>
      <c r="AA62" s="342"/>
      <c r="AB62" s="342"/>
      <c r="AC62" s="342"/>
      <c r="AD62" s="342"/>
      <c r="AE62" s="342"/>
      <c r="AF62" s="342"/>
      <c r="AG62" s="342"/>
      <c r="AH62" s="342"/>
      <c r="AI62" s="342"/>
      <c r="AJ62" s="342"/>
      <c r="AK62" s="342"/>
      <c r="AL62" s="342"/>
      <c r="AM62" s="342"/>
      <c r="AN62" s="342"/>
      <c r="AO62" s="342"/>
      <c r="AP62" s="342"/>
      <c r="AQ62" s="342"/>
      <c r="AR62" s="342"/>
      <c r="AS62" s="342"/>
      <c r="AT62" s="342"/>
      <c r="AU62" s="342"/>
      <c r="AV62" s="342"/>
      <c r="AW62" s="342"/>
      <c r="AX62" s="342"/>
      <c r="AY62" s="342"/>
      <c r="AZ62" s="342"/>
      <c r="BA62" s="342"/>
      <c r="BB62" s="342"/>
      <c r="BC62" s="342"/>
      <c r="BD62" s="342"/>
      <c r="BE62" s="342"/>
      <c r="BF62" s="342"/>
      <c r="BG62" s="342"/>
      <c r="BH62" s="342"/>
      <c r="BI62" s="342"/>
      <c r="BJ62" s="342"/>
      <c r="BK62" s="342"/>
      <c r="BL62" s="342"/>
      <c r="BM62" s="342"/>
      <c r="BN62" s="342"/>
      <c r="BO62" s="342"/>
      <c r="BP62" s="342"/>
      <c r="BQ62" s="342"/>
      <c r="BR62" s="342"/>
      <c r="BS62" s="342"/>
      <c r="BT62" s="342"/>
      <c r="BU62" s="342"/>
      <c r="BV62" s="342"/>
      <c r="BW62" s="342"/>
      <c r="BX62" s="342"/>
      <c r="BY62" s="342"/>
      <c r="BZ62" s="342"/>
      <c r="CA62" s="342"/>
      <c r="CB62" s="342"/>
      <c r="CC62" s="342"/>
      <c r="CD62" s="342"/>
      <c r="CE62" s="342"/>
      <c r="CF62" s="342"/>
      <c r="CG62" s="342"/>
      <c r="CH62" s="342"/>
      <c r="CI62" s="342"/>
      <c r="CJ62" s="342"/>
      <c r="CK62" s="342"/>
      <c r="CL62" s="342"/>
      <c r="CM62" s="342"/>
      <c r="CN62" s="342"/>
      <c r="CO62" s="342"/>
      <c r="CP62" s="342"/>
      <c r="CQ62" s="342"/>
      <c r="CR62" s="342"/>
      <c r="CS62" s="342"/>
      <c r="CT62" s="342"/>
      <c r="CU62" s="342"/>
      <c r="CV62" s="342"/>
      <c r="CW62" s="342"/>
      <c r="CX62" s="342"/>
      <c r="CY62" s="342"/>
      <c r="CZ62" s="342"/>
      <c r="DA62" s="342"/>
      <c r="DB62" s="342"/>
      <c r="DC62" s="342"/>
      <c r="DD62" s="342"/>
      <c r="DE62" s="342"/>
      <c r="DF62" s="342"/>
      <c r="DG62" s="342"/>
      <c r="DH62" s="342"/>
      <c r="DI62" s="342"/>
      <c r="DJ62" s="342"/>
      <c r="DK62" s="342"/>
      <c r="DL62" s="342"/>
      <c r="DM62" s="342"/>
      <c r="DN62" s="342"/>
      <c r="DO62" s="342"/>
      <c r="DP62" s="342"/>
      <c r="DQ62" s="342"/>
      <c r="DR62" s="342"/>
      <c r="DS62" s="342"/>
      <c r="DT62" s="342"/>
      <c r="DU62" s="342"/>
      <c r="DV62" s="342"/>
      <c r="DW62" s="342"/>
      <c r="DX62" s="342"/>
      <c r="DY62" s="342"/>
      <c r="DZ62" s="342"/>
      <c r="EA62" s="342"/>
      <c r="EB62" s="342"/>
      <c r="EC62" s="342"/>
      <c r="ED62" s="342"/>
      <c r="EE62" s="342"/>
      <c r="EF62" s="342"/>
      <c r="EG62" s="342"/>
      <c r="EH62" s="342"/>
      <c r="EI62" s="342"/>
      <c r="EJ62" s="342"/>
      <c r="EK62" s="342"/>
      <c r="EL62" s="342"/>
      <c r="EM62" s="342"/>
      <c r="EN62" s="342"/>
      <c r="EO62" s="342"/>
      <c r="EP62" s="342"/>
      <c r="EQ62" s="342"/>
      <c r="ER62" s="342"/>
      <c r="ES62" s="342"/>
      <c r="ET62" s="342"/>
      <c r="EU62" s="342"/>
      <c r="EV62" s="342"/>
      <c r="EW62" s="342"/>
      <c r="EX62" s="342"/>
      <c r="EY62" s="342"/>
      <c r="EZ62" s="342"/>
      <c r="FA62" s="342"/>
      <c r="FB62" s="342"/>
      <c r="FC62" s="342"/>
      <c r="FD62" s="342"/>
      <c r="FE62" s="342"/>
      <c r="FF62" s="342"/>
      <c r="FG62" s="342"/>
      <c r="FH62" s="342"/>
      <c r="FI62" s="342"/>
      <c r="FJ62" s="342"/>
      <c r="FK62" s="342"/>
      <c r="FL62" s="342"/>
      <c r="FM62" s="342"/>
      <c r="FN62" s="342"/>
      <c r="FO62" s="342"/>
      <c r="FP62" s="342"/>
      <c r="FQ62" s="342"/>
      <c r="FR62" s="342"/>
      <c r="FS62" s="342"/>
      <c r="FT62" s="342"/>
      <c r="FU62" s="342"/>
      <c r="FV62" s="342"/>
      <c r="FW62" s="342"/>
      <c r="FX62" s="342"/>
      <c r="FY62" s="342"/>
      <c r="FZ62" s="342"/>
      <c r="GA62" s="342"/>
      <c r="GB62" s="342"/>
      <c r="GC62" s="342"/>
      <c r="GD62" s="342"/>
      <c r="GE62" s="342"/>
      <c r="GF62" s="342"/>
      <c r="GG62" s="342"/>
      <c r="GH62" s="342"/>
      <c r="GI62" s="342"/>
      <c r="GJ62" s="342"/>
      <c r="GK62" s="342"/>
      <c r="GL62" s="342"/>
      <c r="GM62" s="342"/>
      <c r="GN62" s="342"/>
      <c r="GO62" s="342"/>
      <c r="GP62" s="342"/>
      <c r="GQ62" s="342"/>
      <c r="GR62" s="342"/>
      <c r="GS62" s="342"/>
      <c r="GT62" s="342"/>
      <c r="GU62" s="342"/>
      <c r="GV62" s="342"/>
      <c r="GW62" s="342"/>
      <c r="GX62" s="342"/>
      <c r="GY62" s="342"/>
      <c r="GZ62" s="342"/>
      <c r="HA62" s="342"/>
      <c r="HB62" s="342"/>
      <c r="HC62" s="342"/>
      <c r="HD62" s="342"/>
      <c r="HE62" s="342"/>
      <c r="HF62" s="342"/>
      <c r="HG62" s="342"/>
      <c r="HH62" s="342"/>
      <c r="HI62" s="342"/>
      <c r="HJ62" s="342"/>
      <c r="HK62" s="342"/>
      <c r="HL62" s="342"/>
      <c r="HM62" s="342"/>
      <c r="HN62" s="342"/>
      <c r="HO62" s="342"/>
      <c r="HP62" s="342"/>
      <c r="HQ62" s="342"/>
      <c r="HR62" s="342"/>
      <c r="HS62" s="342"/>
      <c r="HT62" s="342"/>
      <c r="HU62" s="342"/>
      <c r="HV62" s="342"/>
      <c r="HW62" s="342"/>
      <c r="HX62" s="342"/>
      <c r="HY62" s="342"/>
      <c r="HZ62" s="342"/>
      <c r="IA62" s="342"/>
      <c r="IB62" s="342"/>
      <c r="IC62" s="342"/>
      <c r="ID62" s="342"/>
      <c r="IE62" s="342"/>
      <c r="IF62" s="342"/>
      <c r="IG62" s="342"/>
      <c r="IH62" s="342"/>
      <c r="II62" s="342"/>
      <c r="IJ62" s="342"/>
      <c r="IK62" s="342"/>
      <c r="IL62" s="342"/>
      <c r="IM62" s="342"/>
      <c r="IN62" s="342"/>
      <c r="IO62" s="342"/>
      <c r="IP62" s="342"/>
      <c r="IQ62" s="342"/>
      <c r="IR62" s="342"/>
      <c r="IS62" s="342"/>
      <c r="IT62" s="342"/>
      <c r="IU62" s="342"/>
      <c r="IV62" s="342"/>
    </row>
    <row r="63" spans="1:256" s="343" customFormat="1" ht="12" customHeight="1">
      <c r="A63" s="53"/>
      <c r="F63" s="53"/>
      <c r="K63" s="342"/>
      <c r="L63" s="342"/>
      <c r="M63" s="342"/>
      <c r="N63" s="342"/>
      <c r="O63" s="342"/>
      <c r="P63" s="342"/>
      <c r="Q63" s="342"/>
      <c r="R63" s="342"/>
      <c r="S63" s="342"/>
      <c r="T63" s="342"/>
      <c r="U63" s="342"/>
      <c r="V63" s="342"/>
      <c r="W63" s="342"/>
      <c r="X63" s="342"/>
      <c r="Y63" s="342"/>
      <c r="Z63" s="342"/>
      <c r="AA63" s="342"/>
      <c r="AB63" s="342"/>
      <c r="AC63" s="342"/>
      <c r="AD63" s="342"/>
      <c r="AE63" s="342"/>
      <c r="AF63" s="342"/>
      <c r="AG63" s="342"/>
      <c r="AH63" s="342"/>
      <c r="AI63" s="342"/>
      <c r="AJ63" s="342"/>
      <c r="AK63" s="342"/>
      <c r="AL63" s="342"/>
      <c r="AM63" s="342"/>
      <c r="AN63" s="342"/>
      <c r="AO63" s="342"/>
      <c r="AP63" s="342"/>
      <c r="AQ63" s="342"/>
      <c r="AR63" s="342"/>
      <c r="AS63" s="342"/>
      <c r="AT63" s="342"/>
      <c r="AU63" s="342"/>
      <c r="AV63" s="342"/>
      <c r="AW63" s="342"/>
      <c r="AX63" s="342"/>
      <c r="AY63" s="342"/>
      <c r="AZ63" s="342"/>
      <c r="BA63" s="342"/>
      <c r="BB63" s="342"/>
      <c r="BC63" s="342"/>
      <c r="BD63" s="342"/>
      <c r="BE63" s="342"/>
      <c r="BF63" s="342"/>
      <c r="BG63" s="342"/>
      <c r="BH63" s="342"/>
      <c r="BI63" s="342"/>
      <c r="BJ63" s="342"/>
      <c r="BK63" s="342"/>
      <c r="BL63" s="342"/>
      <c r="BM63" s="342"/>
      <c r="BN63" s="342"/>
      <c r="BO63" s="342"/>
      <c r="BP63" s="342"/>
      <c r="BQ63" s="342"/>
      <c r="BR63" s="342"/>
      <c r="BS63" s="342"/>
      <c r="BT63" s="342"/>
      <c r="BU63" s="342"/>
      <c r="BV63" s="342"/>
      <c r="BW63" s="342"/>
      <c r="BX63" s="342"/>
      <c r="BY63" s="342"/>
      <c r="BZ63" s="342"/>
      <c r="CA63" s="342"/>
      <c r="CB63" s="342"/>
      <c r="CC63" s="342"/>
      <c r="CD63" s="342"/>
      <c r="CE63" s="342"/>
      <c r="CF63" s="342"/>
      <c r="CG63" s="342"/>
      <c r="CH63" s="342"/>
      <c r="CI63" s="342"/>
      <c r="CJ63" s="342"/>
      <c r="CK63" s="342"/>
      <c r="CL63" s="342"/>
      <c r="CM63" s="342"/>
      <c r="CN63" s="342"/>
      <c r="CO63" s="342"/>
      <c r="CP63" s="342"/>
      <c r="CQ63" s="342"/>
      <c r="CR63" s="342"/>
      <c r="CS63" s="342"/>
      <c r="CT63" s="342"/>
      <c r="CU63" s="342"/>
      <c r="CV63" s="342"/>
      <c r="CW63" s="342"/>
      <c r="CX63" s="342"/>
      <c r="CY63" s="342"/>
      <c r="CZ63" s="342"/>
      <c r="DA63" s="342"/>
      <c r="DB63" s="342"/>
      <c r="DC63" s="342"/>
      <c r="DD63" s="342"/>
      <c r="DE63" s="342"/>
      <c r="DF63" s="342"/>
      <c r="DG63" s="342"/>
      <c r="DH63" s="342"/>
      <c r="DI63" s="342"/>
      <c r="DJ63" s="342"/>
      <c r="DK63" s="342"/>
      <c r="DL63" s="342"/>
      <c r="DM63" s="342"/>
      <c r="DN63" s="342"/>
      <c r="DO63" s="342"/>
      <c r="DP63" s="342"/>
      <c r="DQ63" s="342"/>
      <c r="DR63" s="342"/>
      <c r="DS63" s="342"/>
      <c r="DT63" s="342"/>
      <c r="DU63" s="342"/>
      <c r="DV63" s="342"/>
      <c r="DW63" s="342"/>
      <c r="DX63" s="342"/>
      <c r="DY63" s="342"/>
      <c r="DZ63" s="342"/>
      <c r="EA63" s="342"/>
      <c r="EB63" s="342"/>
      <c r="EC63" s="342"/>
      <c r="ED63" s="342"/>
      <c r="EE63" s="342"/>
      <c r="EF63" s="342"/>
      <c r="EG63" s="342"/>
      <c r="EH63" s="342"/>
      <c r="EI63" s="342"/>
      <c r="EJ63" s="342"/>
      <c r="EK63" s="342"/>
      <c r="EL63" s="342"/>
      <c r="EM63" s="342"/>
      <c r="EN63" s="342"/>
      <c r="EO63" s="342"/>
      <c r="EP63" s="342"/>
      <c r="EQ63" s="342"/>
      <c r="ER63" s="342"/>
      <c r="ES63" s="342"/>
      <c r="ET63" s="342"/>
      <c r="EU63" s="342"/>
      <c r="EV63" s="342"/>
      <c r="EW63" s="342"/>
      <c r="EX63" s="342"/>
      <c r="EY63" s="342"/>
      <c r="EZ63" s="342"/>
      <c r="FA63" s="342"/>
      <c r="FB63" s="342"/>
      <c r="FC63" s="342"/>
      <c r="FD63" s="342"/>
      <c r="FE63" s="342"/>
      <c r="FF63" s="342"/>
      <c r="FG63" s="342"/>
      <c r="FH63" s="342"/>
      <c r="FI63" s="342"/>
      <c r="FJ63" s="342"/>
      <c r="FK63" s="342"/>
      <c r="FL63" s="342"/>
      <c r="FM63" s="342"/>
      <c r="FN63" s="342"/>
      <c r="FO63" s="342"/>
      <c r="FP63" s="342"/>
      <c r="FQ63" s="342"/>
      <c r="FR63" s="342"/>
      <c r="FS63" s="342"/>
      <c r="FT63" s="342"/>
      <c r="FU63" s="342"/>
      <c r="FV63" s="342"/>
      <c r="FW63" s="342"/>
      <c r="FX63" s="342"/>
      <c r="FY63" s="342"/>
      <c r="FZ63" s="342"/>
      <c r="GA63" s="342"/>
      <c r="GB63" s="342"/>
      <c r="GC63" s="342"/>
      <c r="GD63" s="342"/>
      <c r="GE63" s="342"/>
      <c r="GF63" s="342"/>
      <c r="GG63" s="342"/>
      <c r="GH63" s="342"/>
      <c r="GI63" s="342"/>
      <c r="GJ63" s="342"/>
      <c r="GK63" s="342"/>
      <c r="GL63" s="342"/>
      <c r="GM63" s="342"/>
      <c r="GN63" s="342"/>
      <c r="GO63" s="342"/>
      <c r="GP63" s="342"/>
      <c r="GQ63" s="342"/>
      <c r="GR63" s="342"/>
      <c r="GS63" s="342"/>
      <c r="GT63" s="342"/>
      <c r="GU63" s="342"/>
      <c r="GV63" s="342"/>
      <c r="GW63" s="342"/>
      <c r="GX63" s="342"/>
      <c r="GY63" s="342"/>
      <c r="GZ63" s="342"/>
      <c r="HA63" s="342"/>
      <c r="HB63" s="342"/>
      <c r="HC63" s="342"/>
      <c r="HD63" s="342"/>
      <c r="HE63" s="342"/>
      <c r="HF63" s="342"/>
      <c r="HG63" s="342"/>
      <c r="HH63" s="342"/>
      <c r="HI63" s="342"/>
      <c r="HJ63" s="342"/>
      <c r="HK63" s="342"/>
      <c r="HL63" s="342"/>
      <c r="HM63" s="342"/>
      <c r="HN63" s="342"/>
      <c r="HO63" s="342"/>
      <c r="HP63" s="342"/>
      <c r="HQ63" s="342"/>
      <c r="HR63" s="342"/>
      <c r="HS63" s="342"/>
      <c r="HT63" s="342"/>
      <c r="HU63" s="342"/>
      <c r="HV63" s="342"/>
      <c r="HW63" s="342"/>
      <c r="HX63" s="342"/>
      <c r="HY63" s="342"/>
      <c r="HZ63" s="342"/>
      <c r="IA63" s="342"/>
      <c r="IB63" s="342"/>
      <c r="IC63" s="342"/>
      <c r="ID63" s="342"/>
      <c r="IE63" s="342"/>
      <c r="IF63" s="342"/>
      <c r="IG63" s="342"/>
      <c r="IH63" s="342"/>
      <c r="II63" s="342"/>
      <c r="IJ63" s="342"/>
      <c r="IK63" s="342"/>
      <c r="IL63" s="342"/>
      <c r="IM63" s="342"/>
      <c r="IN63" s="342"/>
      <c r="IO63" s="342"/>
      <c r="IP63" s="342"/>
      <c r="IQ63" s="342"/>
      <c r="IR63" s="342"/>
      <c r="IS63" s="342"/>
      <c r="IT63" s="342"/>
      <c r="IU63" s="342"/>
      <c r="IV63" s="342"/>
    </row>
    <row r="64" spans="1:256" s="2" customFormat="1"/>
    <row r="65" spans="1:256" s="2" customFormat="1"/>
    <row r="66" spans="1:256" s="2" customFormat="1"/>
    <row r="67" spans="1:256" s="2" customFormat="1"/>
    <row r="68" spans="1:256" s="2" customFormat="1"/>
    <row r="69" spans="1:256">
      <c r="A69" s="5" t="s">
        <v>47</v>
      </c>
      <c r="B69" s="5"/>
      <c r="C69" s="5"/>
      <c r="D69" s="6">
        <f>SUM(D60-D24-D26-D30-D33-D38-D44)</f>
        <v>3064</v>
      </c>
      <c r="E69" s="5"/>
      <c r="F69" s="5"/>
      <c r="G69" s="6">
        <f>SUM(G60-G24-G26-G30-G33-G38-G44)</f>
        <v>10951</v>
      </c>
      <c r="H69" s="5"/>
      <c r="I69" s="5"/>
      <c r="J69" s="6">
        <f>SUM(J60-J24-J26-J30-J33-J38-J44)</f>
        <v>14015</v>
      </c>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c r="AV69" s="5"/>
      <c r="AW69" s="5"/>
      <c r="AX69" s="5"/>
      <c r="AY69" s="5"/>
      <c r="AZ69" s="5"/>
      <c r="BA69" s="5"/>
      <c r="BB69" s="5"/>
      <c r="BC69" s="5"/>
      <c r="BD69" s="5"/>
      <c r="BE69" s="5"/>
      <c r="BF69" s="5"/>
      <c r="BG69" s="5"/>
      <c r="BH69" s="5"/>
      <c r="BI69" s="5"/>
      <c r="BJ69" s="5"/>
      <c r="BK69" s="5"/>
      <c r="BL69" s="5"/>
      <c r="BM69" s="5"/>
      <c r="BN69" s="5"/>
      <c r="BO69" s="5"/>
      <c r="BP69" s="5"/>
      <c r="BQ69" s="5"/>
      <c r="BR69" s="5"/>
      <c r="BS69" s="5"/>
      <c r="BT69" s="5"/>
      <c r="BU69" s="5"/>
      <c r="BV69" s="5"/>
      <c r="BW69" s="5"/>
      <c r="BX69" s="5"/>
      <c r="BY69" s="5"/>
      <c r="BZ69" s="5"/>
      <c r="CA69" s="5"/>
      <c r="CB69" s="5"/>
      <c r="CC69" s="5"/>
      <c r="CD69" s="5"/>
      <c r="CE69" s="5"/>
      <c r="CF69" s="5"/>
      <c r="CG69" s="5"/>
      <c r="CH69" s="5"/>
      <c r="CI69" s="5"/>
      <c r="CJ69" s="5"/>
      <c r="CK69" s="5"/>
      <c r="CL69" s="5"/>
      <c r="CM69" s="5"/>
      <c r="CN69" s="5"/>
      <c r="CO69" s="5"/>
      <c r="CP69" s="5"/>
      <c r="CQ69" s="5"/>
      <c r="CR69" s="5"/>
      <c r="CS69" s="5"/>
      <c r="CT69" s="5"/>
      <c r="CU69" s="5"/>
      <c r="CV69" s="5"/>
      <c r="CW69" s="5"/>
      <c r="CX69" s="5"/>
      <c r="CY69" s="5"/>
      <c r="CZ69" s="5"/>
      <c r="DA69" s="5"/>
      <c r="DB69" s="5"/>
      <c r="DC69" s="5"/>
      <c r="DD69" s="5"/>
      <c r="DE69" s="5"/>
      <c r="DF69" s="5"/>
      <c r="DG69" s="5"/>
      <c r="DH69" s="5"/>
      <c r="DI69" s="5"/>
      <c r="DJ69" s="5"/>
      <c r="DK69" s="5"/>
      <c r="DL69" s="5"/>
      <c r="DM69" s="5"/>
      <c r="DN69" s="5"/>
      <c r="DO69" s="5"/>
      <c r="DP69" s="5"/>
      <c r="DQ69" s="5"/>
      <c r="DR69" s="5"/>
      <c r="DS69" s="5"/>
      <c r="DT69" s="5"/>
      <c r="DU69" s="5"/>
      <c r="DV69" s="5"/>
      <c r="DW69" s="5"/>
      <c r="DX69" s="5"/>
      <c r="DY69" s="5"/>
      <c r="DZ69" s="5"/>
      <c r="EA69" s="5"/>
      <c r="EB69" s="5"/>
      <c r="EC69" s="5"/>
      <c r="ED69" s="5"/>
      <c r="EE69" s="5"/>
      <c r="EF69" s="5"/>
      <c r="EG69" s="5"/>
      <c r="EH69" s="5"/>
      <c r="EI69" s="5"/>
      <c r="EJ69" s="5"/>
      <c r="EK69" s="5"/>
      <c r="EL69" s="5"/>
      <c r="EM69" s="5"/>
      <c r="EN69" s="5"/>
      <c r="EO69" s="5"/>
      <c r="EP69" s="5"/>
      <c r="EQ69" s="5"/>
      <c r="ER69" s="5"/>
      <c r="ES69" s="5"/>
      <c r="ET69" s="5"/>
      <c r="EU69" s="5"/>
      <c r="EV69" s="5"/>
      <c r="EW69" s="5"/>
      <c r="EX69" s="5"/>
      <c r="EY69" s="5"/>
      <c r="EZ69" s="5"/>
      <c r="FA69" s="5"/>
      <c r="FB69" s="5"/>
      <c r="FC69" s="5"/>
      <c r="FD69" s="5"/>
      <c r="FE69" s="5"/>
      <c r="FF69" s="5"/>
      <c r="FG69" s="5"/>
      <c r="FH69" s="5"/>
      <c r="FI69" s="5"/>
      <c r="FJ69" s="5"/>
      <c r="FK69" s="5"/>
      <c r="FL69" s="5"/>
      <c r="FM69" s="5"/>
      <c r="FN69" s="5"/>
      <c r="FO69" s="5"/>
      <c r="FP69" s="5"/>
      <c r="FQ69" s="5"/>
      <c r="FR69" s="5"/>
      <c r="FS69" s="5"/>
      <c r="FT69" s="5"/>
      <c r="FU69" s="5"/>
      <c r="FV69" s="5"/>
      <c r="FW69" s="5"/>
      <c r="FX69" s="5"/>
      <c r="FY69" s="5"/>
      <c r="FZ69" s="5"/>
      <c r="GA69" s="5"/>
      <c r="GB69" s="5"/>
      <c r="GC69" s="5"/>
      <c r="GD69" s="5"/>
      <c r="GE69" s="5"/>
      <c r="GF69" s="5"/>
      <c r="GG69" s="5"/>
      <c r="GH69" s="5"/>
      <c r="GI69" s="5"/>
      <c r="GJ69" s="5"/>
      <c r="GK69" s="5"/>
      <c r="GL69" s="5"/>
      <c r="GM69" s="5"/>
      <c r="GN69" s="5"/>
      <c r="GO69" s="5"/>
      <c r="GP69" s="5"/>
      <c r="GQ69" s="5"/>
      <c r="GR69" s="5"/>
      <c r="GS69" s="5"/>
      <c r="GT69" s="5"/>
      <c r="GU69" s="5"/>
      <c r="GV69" s="5"/>
      <c r="GW69" s="5"/>
      <c r="GX69" s="5"/>
      <c r="GY69" s="5"/>
      <c r="GZ69" s="5"/>
      <c r="HA69" s="5"/>
      <c r="HB69" s="5"/>
      <c r="HC69" s="5"/>
      <c r="HD69" s="5"/>
      <c r="HE69" s="5"/>
      <c r="HF69" s="5"/>
      <c r="HG69" s="5"/>
      <c r="HH69" s="5"/>
      <c r="HI69" s="5"/>
      <c r="HJ69" s="5"/>
      <c r="HK69" s="5"/>
      <c r="HL69" s="5"/>
      <c r="HM69" s="5"/>
      <c r="HN69" s="5"/>
      <c r="HO69" s="5"/>
      <c r="HP69" s="5"/>
      <c r="HQ69" s="5"/>
      <c r="HR69" s="5"/>
      <c r="HS69" s="5"/>
      <c r="HT69" s="5"/>
      <c r="HU69" s="5"/>
      <c r="HV69" s="5"/>
      <c r="HW69" s="5"/>
      <c r="HX69" s="5"/>
      <c r="HY69" s="5"/>
      <c r="HZ69" s="5"/>
      <c r="IA69" s="5"/>
      <c r="IB69" s="5"/>
      <c r="IC69" s="5"/>
      <c r="ID69" s="5"/>
      <c r="IE69" s="5"/>
      <c r="IF69" s="5"/>
      <c r="IG69" s="5"/>
      <c r="IH69" s="5"/>
      <c r="II69" s="5"/>
      <c r="IJ69" s="5"/>
      <c r="IK69" s="5"/>
      <c r="IL69" s="5"/>
      <c r="IM69" s="5"/>
      <c r="IN69" s="5"/>
      <c r="IO69" s="5"/>
      <c r="IP69" s="5"/>
      <c r="IQ69" s="5"/>
      <c r="IR69" s="5"/>
      <c r="IS69" s="5"/>
      <c r="IT69" s="5"/>
      <c r="IU69" s="5"/>
      <c r="IV69" s="5"/>
    </row>
    <row r="70" spans="1:256" s="2" customFormat="1"/>
    <row r="71" spans="1:256" s="2" customFormat="1"/>
    <row r="72" spans="1:256">
      <c r="A72" s="3"/>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c r="EK72" s="2"/>
      <c r="EL72" s="2"/>
      <c r="EM72" s="2"/>
      <c r="EN72" s="2"/>
      <c r="EO72" s="2"/>
      <c r="EP72" s="2"/>
      <c r="EQ72" s="2"/>
      <c r="ER72" s="2"/>
      <c r="ES72" s="2"/>
      <c r="ET72" s="2"/>
      <c r="EU72" s="2"/>
      <c r="EV72" s="2"/>
      <c r="EW72" s="2"/>
      <c r="EX72" s="2"/>
      <c r="EY72" s="2"/>
      <c r="EZ72" s="2"/>
      <c r="FA72" s="2"/>
      <c r="FB72" s="2"/>
      <c r="FC72" s="2"/>
      <c r="FD72" s="2"/>
      <c r="FE72" s="2"/>
      <c r="FF72" s="2"/>
      <c r="FG72" s="2"/>
      <c r="FH72" s="2"/>
      <c r="FI72" s="2"/>
      <c r="FJ72" s="2"/>
      <c r="FK72" s="2"/>
      <c r="FL72" s="2"/>
      <c r="FM72" s="2"/>
      <c r="FN72" s="2"/>
      <c r="FO72" s="2"/>
      <c r="FP72" s="2"/>
      <c r="FQ72" s="2"/>
      <c r="FR72" s="2"/>
      <c r="FS72" s="2"/>
      <c r="FT72" s="2"/>
      <c r="FU72" s="2"/>
      <c r="FV72" s="2"/>
      <c r="FW72" s="2"/>
      <c r="FX72" s="2"/>
      <c r="FY72" s="2"/>
      <c r="FZ72" s="2"/>
      <c r="GA72" s="2"/>
      <c r="GB72" s="2"/>
      <c r="GC72" s="2"/>
      <c r="GD72" s="2"/>
      <c r="GE72" s="2"/>
      <c r="GF72" s="2"/>
      <c r="GG72" s="2"/>
      <c r="GH72" s="2"/>
      <c r="GI72" s="2"/>
      <c r="GJ72" s="2"/>
      <c r="GK72" s="2"/>
      <c r="GL72" s="2"/>
      <c r="GM72" s="2"/>
      <c r="GN72" s="2"/>
      <c r="GO72" s="2"/>
      <c r="GP72" s="2"/>
      <c r="GQ72" s="2"/>
      <c r="GR72" s="2"/>
      <c r="GS72" s="2"/>
      <c r="GT72" s="2"/>
      <c r="GU72" s="2"/>
      <c r="GV72" s="2"/>
      <c r="GW72" s="2"/>
      <c r="GX72" s="2"/>
      <c r="GY72" s="2"/>
      <c r="GZ72" s="2"/>
      <c r="HA72" s="2"/>
      <c r="HB72" s="2"/>
      <c r="HC72" s="2"/>
      <c r="HD72" s="2"/>
      <c r="HE72" s="2"/>
      <c r="HF72" s="2"/>
      <c r="HG72" s="2"/>
      <c r="HH72" s="2"/>
      <c r="HI72" s="2"/>
      <c r="HJ72" s="2"/>
      <c r="HK72" s="2"/>
      <c r="HL72" s="2"/>
      <c r="HM72" s="2"/>
      <c r="HN72" s="2"/>
      <c r="HO72" s="2"/>
      <c r="HP72" s="2"/>
      <c r="HQ72" s="2"/>
      <c r="HR72" s="2"/>
      <c r="HS72" s="2"/>
      <c r="HT72" s="2"/>
      <c r="HU72" s="2"/>
      <c r="HV72" s="2"/>
      <c r="HW72" s="2"/>
      <c r="HX72" s="2"/>
      <c r="HY72" s="2"/>
      <c r="HZ72" s="2"/>
      <c r="IA72" s="2"/>
      <c r="IB72" s="2"/>
      <c r="IC72" s="2"/>
      <c r="ID72" s="2"/>
      <c r="IE72" s="2"/>
      <c r="IF72" s="2"/>
      <c r="IG72" s="2"/>
      <c r="IH72" s="2"/>
      <c r="II72" s="2"/>
      <c r="IJ72" s="2"/>
      <c r="IK72" s="2"/>
      <c r="IL72" s="2"/>
      <c r="IM72" s="2"/>
      <c r="IN72" s="2"/>
      <c r="IO72" s="2"/>
      <c r="IP72" s="2"/>
      <c r="IQ72" s="2"/>
      <c r="IR72" s="2"/>
      <c r="IS72" s="2"/>
      <c r="IT72" s="2"/>
      <c r="IU72" s="2"/>
      <c r="IV72" s="2"/>
    </row>
    <row r="73" spans="1:256">
      <c r="A73" s="3"/>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M73" s="2"/>
      <c r="GN73" s="2"/>
      <c r="GO73" s="2"/>
      <c r="GP73" s="2"/>
      <c r="GQ73" s="2"/>
      <c r="GR73" s="2"/>
      <c r="GS73" s="2"/>
      <c r="GT73" s="2"/>
      <c r="GU73" s="2"/>
      <c r="GV73" s="2"/>
      <c r="GW73" s="2"/>
      <c r="GX73" s="2"/>
      <c r="GY73" s="2"/>
      <c r="GZ73" s="2"/>
      <c r="HA73" s="2"/>
      <c r="HB73" s="2"/>
      <c r="HC73" s="2"/>
      <c r="HD73" s="2"/>
      <c r="HE73" s="2"/>
      <c r="HF73" s="2"/>
      <c r="HG73" s="2"/>
      <c r="HH73" s="2"/>
      <c r="HI73" s="2"/>
      <c r="HJ73" s="2"/>
      <c r="HK73" s="2"/>
      <c r="HL73" s="2"/>
      <c r="HM73" s="2"/>
      <c r="HN73" s="2"/>
      <c r="HO73" s="2"/>
      <c r="HP73" s="2"/>
      <c r="HQ73" s="2"/>
      <c r="HR73" s="2"/>
      <c r="HS73" s="2"/>
      <c r="HT73" s="2"/>
      <c r="HU73" s="2"/>
      <c r="HV73" s="2"/>
      <c r="HW73" s="2"/>
      <c r="HX73" s="2"/>
      <c r="HY73" s="2"/>
      <c r="HZ73" s="2"/>
      <c r="IA73" s="2"/>
      <c r="IB73" s="2"/>
      <c r="IC73" s="2"/>
      <c r="ID73" s="2"/>
      <c r="IE73" s="2"/>
      <c r="IF73" s="2"/>
      <c r="IG73" s="2"/>
      <c r="IH73" s="2"/>
      <c r="II73" s="2"/>
      <c r="IJ73" s="2"/>
      <c r="IK73" s="2"/>
      <c r="IL73" s="2"/>
      <c r="IM73" s="2"/>
      <c r="IN73" s="2"/>
      <c r="IO73" s="2"/>
      <c r="IP73" s="2"/>
      <c r="IQ73" s="2"/>
      <c r="IR73" s="2"/>
      <c r="IS73" s="2"/>
      <c r="IT73" s="2"/>
      <c r="IU73" s="2"/>
      <c r="IV73" s="2"/>
    </row>
    <row r="74" spans="1:256">
      <c r="A74" s="4"/>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c r="EK74" s="2"/>
      <c r="EL74" s="2"/>
      <c r="EM74" s="2"/>
      <c r="EN74" s="2"/>
      <c r="EO74" s="2"/>
      <c r="EP74" s="2"/>
      <c r="EQ74" s="2"/>
      <c r="ER74" s="2"/>
      <c r="ES74" s="2"/>
      <c r="ET74" s="2"/>
      <c r="EU74" s="2"/>
      <c r="EV74" s="2"/>
      <c r="EW74" s="2"/>
      <c r="EX74" s="2"/>
      <c r="EY74" s="2"/>
      <c r="EZ74" s="2"/>
      <c r="FA74" s="2"/>
      <c r="FB74" s="2"/>
      <c r="FC74" s="2"/>
      <c r="FD74" s="2"/>
      <c r="FE74" s="2"/>
      <c r="FF74" s="2"/>
      <c r="FG74" s="2"/>
      <c r="FH74" s="2"/>
      <c r="FI74" s="2"/>
      <c r="FJ74" s="2"/>
      <c r="FK74" s="2"/>
      <c r="FL74" s="2"/>
      <c r="FM74" s="2"/>
      <c r="FN74" s="2"/>
      <c r="FO74" s="2"/>
      <c r="FP74" s="2"/>
      <c r="FQ74" s="2"/>
      <c r="FR74" s="2"/>
      <c r="FS74" s="2"/>
      <c r="FT74" s="2"/>
      <c r="FU74" s="2"/>
      <c r="FV74" s="2"/>
      <c r="FW74" s="2"/>
      <c r="FX74" s="2"/>
      <c r="FY74" s="2"/>
      <c r="FZ74" s="2"/>
      <c r="GA74" s="2"/>
      <c r="GB74" s="2"/>
      <c r="GC74" s="2"/>
      <c r="GD74" s="2"/>
      <c r="GE74" s="2"/>
      <c r="GF74" s="2"/>
      <c r="GG74" s="2"/>
      <c r="GH74" s="2"/>
      <c r="GI74" s="2"/>
      <c r="GJ74" s="2"/>
      <c r="GK74" s="2"/>
      <c r="GL74" s="2"/>
      <c r="GM74" s="2"/>
      <c r="GN74" s="2"/>
      <c r="GO74" s="2"/>
      <c r="GP74" s="2"/>
      <c r="GQ74" s="2"/>
      <c r="GR74" s="2"/>
      <c r="GS74" s="2"/>
      <c r="GT74" s="2"/>
      <c r="GU74" s="2"/>
      <c r="GV74" s="2"/>
      <c r="GW74" s="2"/>
      <c r="GX74" s="2"/>
      <c r="GY74" s="2"/>
      <c r="GZ74" s="2"/>
      <c r="HA74" s="2"/>
      <c r="HB74" s="2"/>
      <c r="HC74" s="2"/>
      <c r="HD74" s="2"/>
      <c r="HE74" s="2"/>
      <c r="HF74" s="2"/>
      <c r="HG74" s="2"/>
      <c r="HH74" s="2"/>
      <c r="HI74" s="2"/>
      <c r="HJ74" s="2"/>
      <c r="HK74" s="2"/>
      <c r="HL74" s="2"/>
      <c r="HM74" s="2"/>
      <c r="HN74" s="2"/>
      <c r="HO74" s="2"/>
      <c r="HP74" s="2"/>
      <c r="HQ74" s="2"/>
      <c r="HR74" s="2"/>
      <c r="HS74" s="2"/>
      <c r="HT74" s="2"/>
      <c r="HU74" s="2"/>
      <c r="HV74" s="2"/>
      <c r="HW74" s="2"/>
      <c r="HX74" s="2"/>
      <c r="HY74" s="2"/>
      <c r="HZ74" s="2"/>
      <c r="IA74" s="2"/>
      <c r="IB74" s="2"/>
      <c r="IC74" s="2"/>
      <c r="ID74" s="2"/>
      <c r="IE74" s="2"/>
      <c r="IF74" s="2"/>
      <c r="IG74" s="2"/>
      <c r="IH74" s="2"/>
      <c r="II74" s="2"/>
      <c r="IJ74" s="2"/>
      <c r="IK74" s="2"/>
      <c r="IL74" s="2"/>
      <c r="IM74" s="2"/>
      <c r="IN74" s="2"/>
      <c r="IO74" s="2"/>
      <c r="IP74" s="2"/>
      <c r="IQ74" s="2"/>
      <c r="IR74" s="2"/>
      <c r="IS74" s="2"/>
      <c r="IT74" s="2"/>
      <c r="IU74" s="2"/>
      <c r="IV74" s="2"/>
    </row>
    <row r="75" spans="1:256" s="2" customFormat="1"/>
    <row r="76" spans="1:256" s="2" customFormat="1"/>
    <row r="77" spans="1:256" s="2" customFormat="1"/>
    <row r="78" spans="1:256" s="2" customFormat="1"/>
    <row r="79" spans="1:256" s="2" customFormat="1"/>
    <row r="80" spans="1:256" s="2" customFormat="1"/>
    <row r="81" s="2" customFormat="1"/>
    <row r="82" s="2" customFormat="1"/>
    <row r="83" s="2" customFormat="1"/>
    <row r="84" s="2" customFormat="1"/>
    <row r="85" s="2" customFormat="1"/>
    <row r="86" s="2" customFormat="1"/>
    <row r="87" s="2" customFormat="1"/>
    <row r="88" s="2" customFormat="1"/>
    <row r="89" s="2" customFormat="1"/>
    <row r="90" s="2" customFormat="1"/>
    <row r="91" s="2" customFormat="1"/>
    <row r="92" s="2" customFormat="1"/>
    <row r="93" s="2" customFormat="1"/>
    <row r="94" s="2" customFormat="1"/>
    <row r="95" s="2" customFormat="1"/>
    <row r="96" s="2" customFormat="1"/>
    <row r="97" s="2" customFormat="1"/>
    <row r="98" s="2" customFormat="1"/>
    <row r="99" s="2" customFormat="1"/>
    <row r="100" s="2" customFormat="1"/>
    <row r="101" s="2" customFormat="1"/>
    <row r="102" s="2" customFormat="1"/>
    <row r="103" s="2" customFormat="1"/>
    <row r="104" s="2" customFormat="1"/>
    <row r="105" s="2" customFormat="1"/>
    <row r="106" s="2" customFormat="1"/>
    <row r="107" s="2" customFormat="1"/>
    <row r="108" s="2" customFormat="1"/>
    <row r="109" s="2" customFormat="1"/>
    <row r="110" s="2" customFormat="1"/>
    <row r="111" s="2" customFormat="1"/>
    <row r="112" s="2" customFormat="1"/>
    <row r="113" s="2" customFormat="1"/>
    <row r="114" s="2" customFormat="1"/>
    <row r="115" s="2" customFormat="1"/>
    <row r="116" s="2" customFormat="1"/>
    <row r="117" s="2" customFormat="1"/>
    <row r="118" s="2" customFormat="1"/>
    <row r="119" s="2" customFormat="1"/>
  </sheetData>
  <mergeCells count="3">
    <mergeCell ref="C5:E6"/>
    <mergeCell ref="I5:K6"/>
    <mergeCell ref="F5:H6"/>
  </mergeCells>
  <phoneticPr fontId="0" type="noConversion"/>
  <pageMargins left="0.78740157480314965" right="0.51181102362204722" top="0.51181102362204722" bottom="0.51181102362204722" header="0" footer="0"/>
  <pageSetup scale="95" orientation="portrait" r:id="rId1"/>
  <headerFooter alignWithMargins="0"/>
  <ignoredErrors>
    <ignoredError sqref="K36:K60 G12 G18 C20:C22 D20:D22 F20:F22 G20:G22 H8:K22 E21:E22 K26:K35 F18 D18 C18 F12 D12 C12 E19 E13:E17 E8:E11 K23:K24 E26:E36 H26:J35 E23:E24 H23:J24 G60 G41 F41 D41 H37:J60 D60 F60 E37:E40 E42:E59 C41 C60 H36:I36 J36 J25 E25 H25:I25 K25 A61:D62 B63:D63 A2:K2 A4:K4 A3" unlockedFormula="1"/>
    <ignoredError sqref="E20 E18 E12 E41 E60" formula="1" unlocked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63"/>
  <sheetViews>
    <sheetView showGridLines="0" zoomScaleNormal="100" zoomScaleSheetLayoutView="50" workbookViewId="0"/>
  </sheetViews>
  <sheetFormatPr defaultColWidth="11.5546875" defaultRowHeight="15"/>
  <cols>
    <col min="1" max="4" width="7.6640625" style="10" customWidth="1"/>
    <col min="5" max="5" width="4.6640625" style="10" customWidth="1"/>
    <col min="6" max="7" width="7.6640625" style="10" customWidth="1"/>
    <col min="8" max="8" width="4.6640625" style="10" customWidth="1"/>
    <col min="9" max="10" width="7.6640625" style="10" customWidth="1"/>
    <col min="11" max="11" width="4.6640625" style="10" customWidth="1"/>
    <col min="12" max="16384" width="11.5546875" style="10"/>
  </cols>
  <sheetData>
    <row r="1" spans="1:12" s="74" customFormat="1" ht="15.95" customHeight="1">
      <c r="A1" s="475" t="s">
        <v>144</v>
      </c>
      <c r="B1" s="476"/>
      <c r="C1" s="476"/>
      <c r="D1" s="476"/>
      <c r="E1" s="476"/>
      <c r="F1" s="476"/>
      <c r="G1" s="476"/>
      <c r="H1" s="476"/>
      <c r="I1" s="476"/>
      <c r="J1" s="476"/>
      <c r="K1" s="477"/>
      <c r="L1" s="78"/>
    </row>
    <row r="2" spans="1:12" s="74" customFormat="1" ht="15.95" customHeight="1">
      <c r="A2" s="478" t="str">
        <f>Titles!A2</f>
        <v>Housing Start Data in Centres 10,000 Population and Over</v>
      </c>
      <c r="B2" s="479"/>
      <c r="C2" s="479"/>
      <c r="D2" s="479"/>
      <c r="E2" s="479"/>
      <c r="F2" s="479"/>
      <c r="G2" s="479"/>
      <c r="H2" s="479"/>
      <c r="I2" s="479"/>
      <c r="J2" s="479"/>
      <c r="K2" s="480"/>
      <c r="L2" s="78"/>
    </row>
    <row r="3" spans="1:12" s="74" customFormat="1" ht="15.95" customHeight="1">
      <c r="A3" s="531"/>
      <c r="B3" s="532"/>
      <c r="C3" s="532"/>
      <c r="D3" s="532"/>
      <c r="E3" s="532"/>
      <c r="F3" s="532"/>
      <c r="G3" s="532"/>
      <c r="H3" s="532"/>
      <c r="I3" s="532"/>
      <c r="J3" s="532"/>
      <c r="K3" s="533"/>
      <c r="L3" s="78"/>
    </row>
    <row r="4" spans="1:12" s="74" customFormat="1" ht="15.95" customHeight="1" thickBot="1">
      <c r="A4" s="481" t="str">
        <f>Titles!A5</f>
        <v>January - December 2020 - 2021</v>
      </c>
      <c r="B4" s="482"/>
      <c r="C4" s="482"/>
      <c r="D4" s="482"/>
      <c r="E4" s="482"/>
      <c r="F4" s="482"/>
      <c r="G4" s="482"/>
      <c r="H4" s="482"/>
      <c r="I4" s="482"/>
      <c r="J4" s="482"/>
      <c r="K4" s="483"/>
      <c r="L4" s="78"/>
    </row>
    <row r="5" spans="1:12" ht="11.1" customHeight="1">
      <c r="A5" s="48" t="s">
        <v>0</v>
      </c>
      <c r="B5" s="55"/>
      <c r="C5" s="522" t="s">
        <v>50</v>
      </c>
      <c r="D5" s="523"/>
      <c r="E5" s="524"/>
      <c r="F5" s="522" t="s">
        <v>49</v>
      </c>
      <c r="G5" s="523"/>
      <c r="H5" s="524"/>
      <c r="I5" s="583" t="s">
        <v>46</v>
      </c>
      <c r="J5" s="584"/>
      <c r="K5" s="585"/>
      <c r="L5" s="11"/>
    </row>
    <row r="6" spans="1:12" ht="11.1" customHeight="1">
      <c r="A6" s="49" t="s">
        <v>1</v>
      </c>
      <c r="B6" s="56"/>
      <c r="C6" s="522"/>
      <c r="D6" s="523"/>
      <c r="E6" s="524"/>
      <c r="F6" s="522"/>
      <c r="G6" s="523"/>
      <c r="H6" s="524"/>
      <c r="I6" s="534"/>
      <c r="J6" s="535"/>
      <c r="K6" s="536"/>
      <c r="L6" s="11"/>
    </row>
    <row r="7" spans="1:12" ht="12" customHeight="1">
      <c r="B7" s="57"/>
      <c r="C7" s="14">
        <v>2020</v>
      </c>
      <c r="D7" s="14">
        <v>2021</v>
      </c>
      <c r="E7" s="58" t="s">
        <v>48</v>
      </c>
      <c r="F7" s="14">
        <v>2020</v>
      </c>
      <c r="G7" s="14">
        <v>2021</v>
      </c>
      <c r="H7" s="15" t="s">
        <v>48</v>
      </c>
      <c r="I7" s="59">
        <v>2020</v>
      </c>
      <c r="J7" s="14">
        <v>2021</v>
      </c>
      <c r="K7" s="16" t="s">
        <v>48</v>
      </c>
      <c r="L7" s="11"/>
    </row>
    <row r="8" spans="1:12" ht="11.85" customHeight="1">
      <c r="A8" s="18" t="s">
        <v>2</v>
      </c>
      <c r="B8" s="19"/>
      <c r="C8" s="20">
        <v>407</v>
      </c>
      <c r="D8" s="20">
        <v>492</v>
      </c>
      <c r="E8" s="40">
        <f>IF(C8=D8,"-",IF((C8=0),"##",IF(ABS((D8/C8-1)*100)&gt;=500,"##",(D8/C8-1)*100)))</f>
        <v>20.884520884520885</v>
      </c>
      <c r="F8" s="20">
        <v>99</v>
      </c>
      <c r="G8" s="21">
        <v>141</v>
      </c>
      <c r="H8" s="40">
        <f t="shared" ref="H8:H19" si="0">IF(F8=G8,"-",IF((F8=0),"##",IF(ABS((G8/F8-1)*100)&gt;=500,"##",(G8/F8-1)*100)))</f>
        <v>42.424242424242429</v>
      </c>
      <c r="I8" s="20">
        <f>C8+F8</f>
        <v>506</v>
      </c>
      <c r="J8" s="22">
        <f>D8+G8</f>
        <v>633</v>
      </c>
      <c r="K8" s="23">
        <f t="shared" ref="K8:K19" si="1">IF(I8=J8,"-",IF((I8=0),"##",IF(ABS((J8/I8-1)*100)&gt;=500,"##",(J8/I8-1)*100)))</f>
        <v>25.098814229249022</v>
      </c>
      <c r="L8" s="11"/>
    </row>
    <row r="9" spans="1:12" ht="11.85" customHeight="1">
      <c r="A9" s="24" t="s">
        <v>3</v>
      </c>
      <c r="B9" s="25"/>
      <c r="C9" s="26">
        <v>282</v>
      </c>
      <c r="D9" s="26">
        <v>413</v>
      </c>
      <c r="E9" s="41">
        <f t="shared" ref="E9:E19" si="2">IF(C9=D9,"-",IF((C9=0),"##",IF(ABS((D9/C9-1)*100)&gt;=500,"##",(D9/C9-1)*100)))</f>
        <v>46.453900709219866</v>
      </c>
      <c r="F9" s="26">
        <v>713</v>
      </c>
      <c r="G9" s="27">
        <v>522</v>
      </c>
      <c r="H9" s="41">
        <f t="shared" si="0"/>
        <v>-26.788218793828889</v>
      </c>
      <c r="I9" s="76">
        <f t="shared" ref="I9:I20" si="3">C9+F9</f>
        <v>995</v>
      </c>
      <c r="J9" s="26">
        <f t="shared" ref="J9:J20" si="4">D9+G9</f>
        <v>935</v>
      </c>
      <c r="K9" s="29">
        <f t="shared" si="1"/>
        <v>-6.0301507537688481</v>
      </c>
      <c r="L9" s="11"/>
    </row>
    <row r="10" spans="1:12" ht="11.85" customHeight="1">
      <c r="A10" s="24" t="s">
        <v>4</v>
      </c>
      <c r="B10" s="25"/>
      <c r="C10" s="26">
        <v>1575</v>
      </c>
      <c r="D10" s="26">
        <v>1798</v>
      </c>
      <c r="E10" s="41">
        <f t="shared" si="2"/>
        <v>14.158730158730148</v>
      </c>
      <c r="F10" s="26">
        <v>2803</v>
      </c>
      <c r="G10" s="27">
        <v>3512</v>
      </c>
      <c r="H10" s="41">
        <f t="shared" si="0"/>
        <v>25.29432750624332</v>
      </c>
      <c r="I10" s="76">
        <f t="shared" si="3"/>
        <v>4378</v>
      </c>
      <c r="J10" s="26">
        <f t="shared" si="4"/>
        <v>5310</v>
      </c>
      <c r="K10" s="29">
        <f t="shared" si="1"/>
        <v>21.288259479214243</v>
      </c>
      <c r="L10" s="11"/>
    </row>
    <row r="11" spans="1:12" ht="11.85" customHeight="1">
      <c r="A11" s="24" t="s">
        <v>5</v>
      </c>
      <c r="B11" s="25"/>
      <c r="C11" s="26">
        <v>772</v>
      </c>
      <c r="D11" s="26">
        <v>1002</v>
      </c>
      <c r="E11" s="41">
        <f t="shared" si="2"/>
        <v>29.792746113989633</v>
      </c>
      <c r="F11" s="26">
        <v>2390</v>
      </c>
      <c r="G11" s="27">
        <v>2346</v>
      </c>
      <c r="H11" s="41">
        <f t="shared" si="0"/>
        <v>-1.8410041841004143</v>
      </c>
      <c r="I11" s="76">
        <f t="shared" si="3"/>
        <v>3162</v>
      </c>
      <c r="J11" s="26">
        <f t="shared" si="4"/>
        <v>3348</v>
      </c>
      <c r="K11" s="29">
        <f t="shared" si="1"/>
        <v>5.8823529411764719</v>
      </c>
      <c r="L11" s="11"/>
    </row>
    <row r="12" spans="1:12" ht="11.85" customHeight="1">
      <c r="A12" s="24" t="s">
        <v>6</v>
      </c>
      <c r="B12" s="25"/>
      <c r="C12" s="26">
        <f>SUM(C8:C11)</f>
        <v>3036</v>
      </c>
      <c r="D12" s="26">
        <f>SUM(D8:D11)</f>
        <v>3705</v>
      </c>
      <c r="E12" s="41">
        <f t="shared" si="2"/>
        <v>22.035573122529641</v>
      </c>
      <c r="F12" s="26">
        <f>SUM(F8:F11)</f>
        <v>6005</v>
      </c>
      <c r="G12" s="27">
        <f>SUM(G8:G11)</f>
        <v>6521</v>
      </c>
      <c r="H12" s="41">
        <f t="shared" si="0"/>
        <v>8.5928393005828561</v>
      </c>
      <c r="I12" s="26">
        <f t="shared" si="3"/>
        <v>9041</v>
      </c>
      <c r="J12" s="26">
        <f t="shared" si="4"/>
        <v>10226</v>
      </c>
      <c r="K12" s="29">
        <f t="shared" si="1"/>
        <v>13.106957195000547</v>
      </c>
      <c r="L12" s="11"/>
    </row>
    <row r="13" spans="1:12" ht="11.85" customHeight="1">
      <c r="A13" s="24" t="s">
        <v>7</v>
      </c>
      <c r="B13" s="25"/>
      <c r="C13" s="26">
        <v>6866</v>
      </c>
      <c r="D13" s="26">
        <v>8521</v>
      </c>
      <c r="E13" s="41">
        <f t="shared" si="2"/>
        <v>24.104281969123221</v>
      </c>
      <c r="F13" s="26">
        <v>40366</v>
      </c>
      <c r="G13" s="27">
        <v>48788</v>
      </c>
      <c r="H13" s="41">
        <f t="shared" si="0"/>
        <v>20.86409354407175</v>
      </c>
      <c r="I13" s="76">
        <f t="shared" si="3"/>
        <v>47232</v>
      </c>
      <c r="J13" s="26">
        <f t="shared" si="4"/>
        <v>57309</v>
      </c>
      <c r="K13" s="29">
        <f t="shared" si="1"/>
        <v>21.335111788617887</v>
      </c>
      <c r="L13" s="11"/>
    </row>
    <row r="14" spans="1:12" ht="11.85" customHeight="1">
      <c r="A14" s="24" t="s">
        <v>8</v>
      </c>
      <c r="B14" s="25"/>
      <c r="C14" s="26">
        <v>20921</v>
      </c>
      <c r="D14" s="26">
        <v>25755</v>
      </c>
      <c r="E14" s="41">
        <f t="shared" si="2"/>
        <v>23.105970077912154</v>
      </c>
      <c r="F14" s="26">
        <v>57995</v>
      </c>
      <c r="G14" s="27">
        <v>66529</v>
      </c>
      <c r="H14" s="41">
        <f t="shared" si="0"/>
        <v>14.715061643245097</v>
      </c>
      <c r="I14" s="76">
        <f t="shared" si="3"/>
        <v>78916</v>
      </c>
      <c r="J14" s="26">
        <f t="shared" si="4"/>
        <v>92284</v>
      </c>
      <c r="K14" s="29">
        <f t="shared" si="1"/>
        <v>16.939530640174372</v>
      </c>
      <c r="L14" s="11"/>
    </row>
    <row r="15" spans="1:12" ht="11.85" customHeight="1">
      <c r="A15" s="24" t="s">
        <v>9</v>
      </c>
      <c r="B15" s="25"/>
      <c r="C15" s="26">
        <v>1986</v>
      </c>
      <c r="D15" s="26">
        <v>2647</v>
      </c>
      <c r="E15" s="41">
        <f t="shared" si="2"/>
        <v>33.282980866062431</v>
      </c>
      <c r="F15" s="26">
        <v>4217</v>
      </c>
      <c r="G15" s="27">
        <v>3953</v>
      </c>
      <c r="H15" s="41">
        <f t="shared" si="0"/>
        <v>-6.2603746739388182</v>
      </c>
      <c r="I15" s="76">
        <f t="shared" si="3"/>
        <v>6203</v>
      </c>
      <c r="J15" s="26">
        <f t="shared" si="4"/>
        <v>6600</v>
      </c>
      <c r="K15" s="29">
        <f t="shared" si="1"/>
        <v>6.4001289698532915</v>
      </c>
      <c r="L15" s="11"/>
    </row>
    <row r="16" spans="1:12" ht="11.85" customHeight="1">
      <c r="A16" s="24" t="s">
        <v>10</v>
      </c>
      <c r="B16" s="25"/>
      <c r="C16" s="26">
        <v>1143</v>
      </c>
      <c r="D16" s="26">
        <v>1448</v>
      </c>
      <c r="E16" s="41">
        <f t="shared" si="2"/>
        <v>26.684164479440064</v>
      </c>
      <c r="F16" s="26">
        <v>1660</v>
      </c>
      <c r="G16" s="27">
        <v>2302</v>
      </c>
      <c r="H16" s="41">
        <f t="shared" si="0"/>
        <v>38.674698795180731</v>
      </c>
      <c r="I16" s="76">
        <f t="shared" si="3"/>
        <v>2803</v>
      </c>
      <c r="J16" s="26">
        <f t="shared" si="4"/>
        <v>3750</v>
      </c>
      <c r="K16" s="29">
        <f t="shared" si="1"/>
        <v>33.785230110595798</v>
      </c>
      <c r="L16" s="11"/>
    </row>
    <row r="17" spans="1:12" ht="11.85" customHeight="1">
      <c r="A17" s="24" t="s">
        <v>11</v>
      </c>
      <c r="B17" s="25"/>
      <c r="C17" s="26">
        <v>8976</v>
      </c>
      <c r="D17" s="26">
        <v>13323</v>
      </c>
      <c r="E17" s="41">
        <f t="shared" si="2"/>
        <v>48.429144385026746</v>
      </c>
      <c r="F17" s="26">
        <v>14067</v>
      </c>
      <c r="G17" s="27">
        <v>17289</v>
      </c>
      <c r="H17" s="41">
        <f t="shared" si="0"/>
        <v>22.904670505438251</v>
      </c>
      <c r="I17" s="76">
        <f t="shared" si="3"/>
        <v>23043</v>
      </c>
      <c r="J17" s="26">
        <f t="shared" si="4"/>
        <v>30612</v>
      </c>
      <c r="K17" s="29">
        <f t="shared" si="1"/>
        <v>32.847285509699262</v>
      </c>
      <c r="L17" s="11"/>
    </row>
    <row r="18" spans="1:12" ht="11.85" customHeight="1">
      <c r="A18" s="24" t="s">
        <v>12</v>
      </c>
      <c r="B18" s="25"/>
      <c r="C18" s="26">
        <f>SUM(C15:C17)</f>
        <v>12105</v>
      </c>
      <c r="D18" s="26">
        <f>SUM(D15:D17)</f>
        <v>17418</v>
      </c>
      <c r="E18" s="41">
        <f t="shared" si="2"/>
        <v>43.890954151177212</v>
      </c>
      <c r="F18" s="26">
        <f>SUM(F15:F17)</f>
        <v>19944</v>
      </c>
      <c r="G18" s="27">
        <f>SUM(G15:G17)</f>
        <v>23544</v>
      </c>
      <c r="H18" s="41">
        <f t="shared" si="0"/>
        <v>18.050541516245477</v>
      </c>
      <c r="I18" s="76">
        <f t="shared" si="3"/>
        <v>32049</v>
      </c>
      <c r="J18" s="26">
        <f t="shared" si="4"/>
        <v>40962</v>
      </c>
      <c r="K18" s="29">
        <f t="shared" si="1"/>
        <v>27.810540110455872</v>
      </c>
      <c r="L18" s="11"/>
    </row>
    <row r="19" spans="1:12" ht="11.85" customHeight="1">
      <c r="A19" s="30" t="s">
        <v>13</v>
      </c>
      <c r="B19" s="31"/>
      <c r="C19" s="32">
        <v>6812</v>
      </c>
      <c r="D19" s="32">
        <v>8088</v>
      </c>
      <c r="E19" s="43">
        <f t="shared" si="2"/>
        <v>18.731650029359947</v>
      </c>
      <c r="F19" s="32">
        <v>28073</v>
      </c>
      <c r="G19" s="33">
        <v>35272</v>
      </c>
      <c r="H19" s="43">
        <f t="shared" si="0"/>
        <v>25.64385708688064</v>
      </c>
      <c r="I19" s="60">
        <f t="shared" si="3"/>
        <v>34885</v>
      </c>
      <c r="J19" s="32">
        <f t="shared" si="4"/>
        <v>43360</v>
      </c>
      <c r="K19" s="35">
        <f t="shared" si="1"/>
        <v>24.29410921599542</v>
      </c>
      <c r="L19" s="11"/>
    </row>
    <row r="20" spans="1:12" ht="13.5" customHeight="1">
      <c r="A20" s="36" t="s">
        <v>14</v>
      </c>
      <c r="B20" s="39"/>
      <c r="C20" s="38">
        <f>SUM(C12:C14,C18:C19)</f>
        <v>49740</v>
      </c>
      <c r="D20" s="38">
        <f>SUM(D12:D14,D18:D19)</f>
        <v>63487</v>
      </c>
      <c r="E20" s="58">
        <f>IF(C20=D20,"-",IF((C20=0),"##",IF(ABS((D20/C20-1)*100)&gt;=500,"##",(D20/C20-1)*100)))</f>
        <v>27.63771612384398</v>
      </c>
      <c r="F20" s="38">
        <f>SUM(F12:F14,F18:F19)</f>
        <v>152383</v>
      </c>
      <c r="G20" s="38">
        <f>SUM(G12:G14,G18:G19)</f>
        <v>180654</v>
      </c>
      <c r="H20" s="58">
        <f>IF(F20=G20,"-",IF((F20=0),"##",IF(ABS((G20/F20-1)*100)&gt;=500,"##",(G20/F20-1)*100)))</f>
        <v>18.552594449512092</v>
      </c>
      <c r="I20" s="61">
        <f t="shared" si="3"/>
        <v>202123</v>
      </c>
      <c r="J20" s="38">
        <f t="shared" si="4"/>
        <v>244141</v>
      </c>
      <c r="K20" s="16">
        <f>IF(I20=J20,"-",IF((I20=0),"##",IF(ABS((J20/I20-1)*100)&gt;=500,"##",(J20/I20-1)*100)))</f>
        <v>20.788331857334398</v>
      </c>
      <c r="L20" s="11"/>
    </row>
    <row r="21" spans="1:12" ht="12" customHeight="1">
      <c r="A21" s="48" t="s">
        <v>15</v>
      </c>
      <c r="B21" s="62"/>
      <c r="C21" s="63"/>
      <c r="D21" s="64"/>
      <c r="E21" s="65"/>
      <c r="F21" s="64"/>
      <c r="G21" s="64"/>
      <c r="H21" s="65"/>
      <c r="I21" s="66"/>
      <c r="J21" s="64"/>
      <c r="K21" s="35"/>
      <c r="L21" s="11"/>
    </row>
    <row r="22" spans="1:12" ht="12" customHeight="1">
      <c r="A22" s="51"/>
      <c r="B22" s="67"/>
      <c r="C22" s="68"/>
      <c r="D22" s="68"/>
      <c r="E22" s="69"/>
      <c r="F22" s="68"/>
      <c r="G22" s="68"/>
      <c r="H22" s="69"/>
      <c r="I22" s="70"/>
      <c r="J22" s="68"/>
      <c r="K22" s="71"/>
      <c r="L22" s="11"/>
    </row>
    <row r="23" spans="1:12" ht="11.85" customHeight="1">
      <c r="A23" s="18" t="s">
        <v>108</v>
      </c>
      <c r="B23" s="22"/>
      <c r="C23" s="40">
        <v>333</v>
      </c>
      <c r="D23" s="40">
        <v>325</v>
      </c>
      <c r="E23" s="40">
        <f t="shared" ref="E23:E59" si="5">IF(C23=D23,"-",IF((C23=0),"##",IF(ABS((D23/C23-1)*100)&gt;=500,"##",(D23/C23-1)*100)))</f>
        <v>-2.4024024024024038</v>
      </c>
      <c r="F23" s="20">
        <v>777</v>
      </c>
      <c r="G23" s="210">
        <v>753</v>
      </c>
      <c r="H23" s="40">
        <f t="shared" ref="H23:H59" si="6">IF(F23=G23,"-",IF((F23=0),"##",IF(ABS((G23/F23-1)*100)&gt;=500,"##",(G23/F23-1)*100)))</f>
        <v>-3.0888030888030937</v>
      </c>
      <c r="I23" s="75">
        <f t="shared" ref="I23:I60" si="7">C23+F23</f>
        <v>1110</v>
      </c>
      <c r="J23" s="20">
        <f t="shared" ref="J23:J60" si="8">D23+G23</f>
        <v>1078</v>
      </c>
      <c r="K23" s="23">
        <f t="shared" ref="K23:K59" si="9">IF(I23=J23,"-",IF((I23=0),"##",IF(ABS((J23/I23-1)*100)&gt;=500,"##",(J23/I23-1)*100)))</f>
        <v>-2.8828828828828867</v>
      </c>
      <c r="L23" s="11"/>
    </row>
    <row r="24" spans="1:12" ht="11.85" customHeight="1">
      <c r="A24" s="24" t="s">
        <v>16</v>
      </c>
      <c r="B24" s="28"/>
      <c r="C24" s="41">
        <v>609</v>
      </c>
      <c r="D24" s="41">
        <v>798</v>
      </c>
      <c r="E24" s="41">
        <f t="shared" si="5"/>
        <v>31.034482758620683</v>
      </c>
      <c r="F24" s="26">
        <v>556</v>
      </c>
      <c r="G24" s="27">
        <v>1427</v>
      </c>
      <c r="H24" s="41">
        <f t="shared" si="6"/>
        <v>156.65467625899279</v>
      </c>
      <c r="I24" s="76">
        <f t="shared" si="7"/>
        <v>1165</v>
      </c>
      <c r="J24" s="26">
        <f t="shared" si="8"/>
        <v>2225</v>
      </c>
      <c r="K24" s="29">
        <f t="shared" si="9"/>
        <v>90.987124463519308</v>
      </c>
      <c r="L24" s="11"/>
    </row>
    <row r="25" spans="1:12" ht="11.85" customHeight="1">
      <c r="A25" s="24" t="s">
        <v>119</v>
      </c>
      <c r="B25" s="28"/>
      <c r="C25" s="41">
        <v>423</v>
      </c>
      <c r="D25" s="41">
        <v>383</v>
      </c>
      <c r="E25" s="277">
        <f t="shared" si="5"/>
        <v>-9.4562647754137146</v>
      </c>
      <c r="F25" s="41">
        <v>250</v>
      </c>
      <c r="G25" s="27">
        <v>141</v>
      </c>
      <c r="H25" s="277">
        <f t="shared" si="6"/>
        <v>-43.600000000000009</v>
      </c>
      <c r="I25" s="41">
        <f t="shared" si="7"/>
        <v>673</v>
      </c>
      <c r="J25" s="26">
        <f t="shared" si="8"/>
        <v>524</v>
      </c>
      <c r="K25" s="277">
        <f t="shared" si="9"/>
        <v>-22.139673105497771</v>
      </c>
      <c r="L25" s="11"/>
    </row>
    <row r="26" spans="1:12" ht="11.85" customHeight="1">
      <c r="A26" s="24" t="s">
        <v>17</v>
      </c>
      <c r="B26" s="28"/>
      <c r="C26" s="41">
        <v>660</v>
      </c>
      <c r="D26" s="41">
        <v>580</v>
      </c>
      <c r="E26" s="41">
        <f t="shared" si="5"/>
        <v>-12.121212121212121</v>
      </c>
      <c r="F26" s="26">
        <v>528</v>
      </c>
      <c r="G26" s="27">
        <v>727</v>
      </c>
      <c r="H26" s="41">
        <f t="shared" si="6"/>
        <v>37.689393939393945</v>
      </c>
      <c r="I26" s="76">
        <f t="shared" si="7"/>
        <v>1188</v>
      </c>
      <c r="J26" s="26">
        <f t="shared" si="8"/>
        <v>1307</v>
      </c>
      <c r="K26" s="29">
        <f>IF(I26=J26,"-",IF((I26=0),"##",IF(ABS((J26/I26-1)*100)&gt;=500,"##",(J26/I26-1)*100)))</f>
        <v>10.016835016835014</v>
      </c>
      <c r="L26" s="11"/>
    </row>
    <row r="27" spans="1:12" ht="11.85" customHeight="1">
      <c r="A27" s="24" t="s">
        <v>18</v>
      </c>
      <c r="B27" s="28"/>
      <c r="C27" s="41">
        <v>3487</v>
      </c>
      <c r="D27" s="41">
        <v>5512</v>
      </c>
      <c r="E27" s="41">
        <f t="shared" si="5"/>
        <v>58.0728419845139</v>
      </c>
      <c r="F27" s="26">
        <v>5748</v>
      </c>
      <c r="G27" s="27">
        <v>9505</v>
      </c>
      <c r="H27" s="41">
        <f t="shared" si="6"/>
        <v>65.361864996520524</v>
      </c>
      <c r="I27" s="76">
        <f t="shared" si="7"/>
        <v>9235</v>
      </c>
      <c r="J27" s="26">
        <f t="shared" si="8"/>
        <v>15017</v>
      </c>
      <c r="K27" s="29">
        <f t="shared" si="9"/>
        <v>62.609637249593945</v>
      </c>
      <c r="L27" s="11"/>
    </row>
    <row r="28" spans="1:12" ht="11.85" customHeight="1">
      <c r="A28" s="24" t="s">
        <v>19</v>
      </c>
      <c r="B28" s="28"/>
      <c r="C28" s="41">
        <v>4138</v>
      </c>
      <c r="D28" s="41">
        <v>5701</v>
      </c>
      <c r="E28" s="41">
        <f t="shared" si="5"/>
        <v>37.771870468825533</v>
      </c>
      <c r="F28" s="26">
        <v>7374</v>
      </c>
      <c r="G28" s="27">
        <v>6845</v>
      </c>
      <c r="H28" s="41">
        <f t="shared" si="6"/>
        <v>-7.1738540819094148</v>
      </c>
      <c r="I28" s="76">
        <f t="shared" si="7"/>
        <v>11512</v>
      </c>
      <c r="J28" s="26">
        <f t="shared" si="8"/>
        <v>12546</v>
      </c>
      <c r="K28" s="29">
        <f t="shared" si="9"/>
        <v>8.9819318971507975</v>
      </c>
      <c r="L28" s="11"/>
    </row>
    <row r="29" spans="1:12" ht="11.85" customHeight="1">
      <c r="A29" s="24" t="s">
        <v>106</v>
      </c>
      <c r="B29" s="28"/>
      <c r="C29" s="41">
        <v>116</v>
      </c>
      <c r="D29" s="41">
        <v>190</v>
      </c>
      <c r="E29" s="41">
        <f t="shared" si="5"/>
        <v>63.793103448275865</v>
      </c>
      <c r="F29" s="26">
        <v>102</v>
      </c>
      <c r="G29" s="27">
        <v>244</v>
      </c>
      <c r="H29" s="41">
        <f t="shared" si="6"/>
        <v>139.21568627450981</v>
      </c>
      <c r="I29" s="77">
        <f t="shared" si="7"/>
        <v>218</v>
      </c>
      <c r="J29" s="41">
        <f t="shared" si="8"/>
        <v>434</v>
      </c>
      <c r="K29" s="29">
        <f t="shared" si="9"/>
        <v>99.082568807339456</v>
      </c>
      <c r="L29" s="11"/>
    </row>
    <row r="30" spans="1:12" ht="11.85" customHeight="1">
      <c r="A30" s="24" t="s">
        <v>20</v>
      </c>
      <c r="B30" s="28"/>
      <c r="C30" s="41">
        <v>209</v>
      </c>
      <c r="D30" s="41">
        <v>192</v>
      </c>
      <c r="E30" s="41">
        <f t="shared" si="5"/>
        <v>-8.1339712918660272</v>
      </c>
      <c r="F30" s="26">
        <v>375</v>
      </c>
      <c r="G30" s="27">
        <v>574</v>
      </c>
      <c r="H30" s="41">
        <f t="shared" si="6"/>
        <v>53.066666666666663</v>
      </c>
      <c r="I30" s="77">
        <f t="shared" si="7"/>
        <v>584</v>
      </c>
      <c r="J30" s="41">
        <f t="shared" si="8"/>
        <v>766</v>
      </c>
      <c r="K30" s="29">
        <f t="shared" si="9"/>
        <v>31.164383561643838</v>
      </c>
      <c r="L30" s="11"/>
    </row>
    <row r="31" spans="1:12" ht="11.85" customHeight="1">
      <c r="A31" s="24" t="s">
        <v>21</v>
      </c>
      <c r="B31" s="28"/>
      <c r="C31" s="41">
        <v>1019</v>
      </c>
      <c r="D31" s="41">
        <v>935</v>
      </c>
      <c r="E31" s="41">
        <f t="shared" si="5"/>
        <v>-8.2433758586849866</v>
      </c>
      <c r="F31" s="26">
        <v>2230</v>
      </c>
      <c r="G31" s="27">
        <v>2859</v>
      </c>
      <c r="H31" s="41">
        <f t="shared" si="6"/>
        <v>28.206278026905828</v>
      </c>
      <c r="I31" s="76">
        <f t="shared" si="7"/>
        <v>3249</v>
      </c>
      <c r="J31" s="26">
        <f t="shared" si="8"/>
        <v>3794</v>
      </c>
      <c r="K31" s="29">
        <f t="shared" si="9"/>
        <v>16.774392120652504</v>
      </c>
      <c r="L31" s="11"/>
    </row>
    <row r="32" spans="1:12" ht="11.85" customHeight="1">
      <c r="A32" s="24" t="s">
        <v>22</v>
      </c>
      <c r="B32" s="28"/>
      <c r="C32" s="41">
        <v>529</v>
      </c>
      <c r="D32" s="41">
        <v>738</v>
      </c>
      <c r="E32" s="41">
        <f t="shared" si="5"/>
        <v>39.508506616257087</v>
      </c>
      <c r="F32" s="26">
        <v>2902</v>
      </c>
      <c r="G32" s="27">
        <v>3449</v>
      </c>
      <c r="H32" s="41">
        <f t="shared" si="6"/>
        <v>18.849069607167479</v>
      </c>
      <c r="I32" s="76">
        <f t="shared" si="7"/>
        <v>3431</v>
      </c>
      <c r="J32" s="26">
        <f t="shared" si="8"/>
        <v>4187</v>
      </c>
      <c r="K32" s="29">
        <f t="shared" si="9"/>
        <v>22.0343923054503</v>
      </c>
      <c r="L32" s="11"/>
    </row>
    <row r="33" spans="1:12" ht="11.85" customHeight="1">
      <c r="A33" s="24" t="s">
        <v>23</v>
      </c>
      <c r="B33" s="28"/>
      <c r="C33" s="41">
        <v>383</v>
      </c>
      <c r="D33" s="41">
        <v>926</v>
      </c>
      <c r="E33" s="41">
        <f t="shared" si="5"/>
        <v>141.77545691906005</v>
      </c>
      <c r="F33" s="26">
        <v>1411</v>
      </c>
      <c r="G33" s="27">
        <v>2340</v>
      </c>
      <c r="H33" s="41">
        <f t="shared" si="6"/>
        <v>65.839829907866772</v>
      </c>
      <c r="I33" s="77">
        <f t="shared" si="7"/>
        <v>1794</v>
      </c>
      <c r="J33" s="41">
        <f t="shared" si="8"/>
        <v>3266</v>
      </c>
      <c r="K33" s="29">
        <f t="shared" si="9"/>
        <v>82.051282051282044</v>
      </c>
      <c r="L33" s="11"/>
    </row>
    <row r="34" spans="1:12" ht="11.85" customHeight="1">
      <c r="A34" s="24" t="s">
        <v>24</v>
      </c>
      <c r="B34" s="28"/>
      <c r="C34" s="41">
        <v>305</v>
      </c>
      <c r="D34" s="41">
        <v>396</v>
      </c>
      <c r="E34" s="41">
        <f t="shared" si="5"/>
        <v>29.836065573770497</v>
      </c>
      <c r="F34" s="26">
        <v>736</v>
      </c>
      <c r="G34" s="27">
        <v>975</v>
      </c>
      <c r="H34" s="41">
        <f t="shared" si="6"/>
        <v>32.472826086956516</v>
      </c>
      <c r="I34" s="76">
        <f t="shared" si="7"/>
        <v>1041</v>
      </c>
      <c r="J34" s="26">
        <f t="shared" si="8"/>
        <v>1371</v>
      </c>
      <c r="K34" s="29">
        <f t="shared" si="9"/>
        <v>31.70028818443804</v>
      </c>
      <c r="L34" s="11"/>
    </row>
    <row r="35" spans="1:12" ht="37.5" customHeight="1">
      <c r="A35" s="529" t="s">
        <v>107</v>
      </c>
      <c r="B35" s="530"/>
      <c r="C35" s="41">
        <v>859</v>
      </c>
      <c r="D35" s="41">
        <v>885</v>
      </c>
      <c r="E35" s="41">
        <f t="shared" si="5"/>
        <v>3.0267753201397074</v>
      </c>
      <c r="F35" s="26">
        <v>2890</v>
      </c>
      <c r="G35" s="27">
        <v>4717</v>
      </c>
      <c r="H35" s="41">
        <f t="shared" si="6"/>
        <v>63.21799307958478</v>
      </c>
      <c r="I35" s="76">
        <f t="shared" si="7"/>
        <v>3749</v>
      </c>
      <c r="J35" s="26">
        <f t="shared" si="8"/>
        <v>5602</v>
      </c>
      <c r="K35" s="29">
        <f t="shared" si="9"/>
        <v>49.426513736996533</v>
      </c>
      <c r="L35" s="11"/>
    </row>
    <row r="36" spans="1:12" ht="11.85" customHeight="1">
      <c r="A36" s="406" t="s">
        <v>120</v>
      </c>
      <c r="B36" s="407"/>
      <c r="C36" s="41">
        <v>271</v>
      </c>
      <c r="D36" s="41">
        <v>361</v>
      </c>
      <c r="E36" s="277">
        <f t="shared" si="5"/>
        <v>33.210332103321029</v>
      </c>
      <c r="F36" s="41">
        <v>228</v>
      </c>
      <c r="G36" s="27">
        <v>278</v>
      </c>
      <c r="H36" s="277">
        <f t="shared" si="6"/>
        <v>21.92982456140351</v>
      </c>
      <c r="I36" s="41">
        <f t="shared" si="7"/>
        <v>499</v>
      </c>
      <c r="J36" s="26">
        <f t="shared" si="8"/>
        <v>639</v>
      </c>
      <c r="K36" s="680">
        <f t="shared" si="9"/>
        <v>28.056112224448903</v>
      </c>
      <c r="L36" s="11"/>
    </row>
    <row r="37" spans="1:12" ht="11.85" customHeight="1">
      <c r="A37" s="24" t="s">
        <v>25</v>
      </c>
      <c r="B37" s="28"/>
      <c r="C37" s="41">
        <v>1727</v>
      </c>
      <c r="D37" s="41">
        <v>2284</v>
      </c>
      <c r="E37" s="41">
        <f t="shared" si="5"/>
        <v>32.252460914881297</v>
      </c>
      <c r="F37" s="26">
        <v>2535</v>
      </c>
      <c r="G37" s="27">
        <v>3308</v>
      </c>
      <c r="H37" s="41">
        <f t="shared" si="6"/>
        <v>30.493096646942796</v>
      </c>
      <c r="I37" s="76">
        <f t="shared" si="7"/>
        <v>4262</v>
      </c>
      <c r="J37" s="26">
        <f t="shared" si="8"/>
        <v>5592</v>
      </c>
      <c r="K37" s="29">
        <f t="shared" si="9"/>
        <v>31.206006569685595</v>
      </c>
      <c r="L37" s="11"/>
    </row>
    <row r="38" spans="1:12" ht="11.85" customHeight="1">
      <c r="A38" s="24" t="s">
        <v>26</v>
      </c>
      <c r="B38" s="28"/>
      <c r="C38" s="41">
        <v>236</v>
      </c>
      <c r="D38" s="41">
        <v>304</v>
      </c>
      <c r="E38" s="41">
        <f t="shared" si="5"/>
        <v>28.813559322033889</v>
      </c>
      <c r="F38" s="26">
        <v>1472</v>
      </c>
      <c r="G38" s="27">
        <v>1442</v>
      </c>
      <c r="H38" s="41">
        <f t="shared" si="6"/>
        <v>-2.0380434782608647</v>
      </c>
      <c r="I38" s="77">
        <f t="shared" si="7"/>
        <v>1708</v>
      </c>
      <c r="J38" s="41">
        <f t="shared" si="8"/>
        <v>1746</v>
      </c>
      <c r="K38" s="29">
        <f t="shared" si="9"/>
        <v>2.2248243559718883</v>
      </c>
      <c r="L38" s="11"/>
    </row>
    <row r="39" spans="1:12" ht="11.85" customHeight="1">
      <c r="A39" s="24" t="s">
        <v>27</v>
      </c>
      <c r="B39" s="28"/>
      <c r="C39" s="41">
        <v>2493</v>
      </c>
      <c r="D39" s="41">
        <v>2901</v>
      </c>
      <c r="E39" s="41">
        <f t="shared" si="5"/>
        <v>16.365824308062571</v>
      </c>
      <c r="F39" s="26">
        <v>24781</v>
      </c>
      <c r="G39" s="27">
        <v>29442</v>
      </c>
      <c r="H39" s="41">
        <f t="shared" si="6"/>
        <v>18.808764779468135</v>
      </c>
      <c r="I39" s="76">
        <f t="shared" si="7"/>
        <v>27274</v>
      </c>
      <c r="J39" s="26">
        <f t="shared" si="8"/>
        <v>32343</v>
      </c>
      <c r="K39" s="29">
        <f t="shared" si="9"/>
        <v>18.585466011586128</v>
      </c>
      <c r="L39" s="11"/>
    </row>
    <row r="40" spans="1:12" ht="11.85" customHeight="1">
      <c r="A40" s="24" t="s">
        <v>28</v>
      </c>
      <c r="B40" s="28"/>
      <c r="C40" s="41">
        <v>793</v>
      </c>
      <c r="D40" s="26">
        <v>1407</v>
      </c>
      <c r="E40" s="41">
        <f t="shared" si="5"/>
        <v>77.427490542244641</v>
      </c>
      <c r="F40" s="26">
        <v>1873</v>
      </c>
      <c r="G40" s="27">
        <v>2456</v>
      </c>
      <c r="H40" s="41">
        <f t="shared" si="6"/>
        <v>31.126534970635333</v>
      </c>
      <c r="I40" s="76">
        <f t="shared" si="7"/>
        <v>2666</v>
      </c>
      <c r="J40" s="26">
        <f t="shared" si="8"/>
        <v>3863</v>
      </c>
      <c r="K40" s="29">
        <f t="shared" si="9"/>
        <v>44.898724681170286</v>
      </c>
      <c r="L40" s="11"/>
    </row>
    <row r="41" spans="1:12" ht="11.85" customHeight="1">
      <c r="A41" s="24" t="s">
        <v>29</v>
      </c>
      <c r="B41" s="28"/>
      <c r="C41" s="26">
        <f>+SUM(C42+C43)</f>
        <v>3411</v>
      </c>
      <c r="D41" s="26">
        <f>+SUM(D42+D43)</f>
        <v>4003</v>
      </c>
      <c r="E41" s="41">
        <f t="shared" si="5"/>
        <v>17.355614189387268</v>
      </c>
      <c r="F41" s="26">
        <f>+SUM(F42+F43)</f>
        <v>9623</v>
      </c>
      <c r="G41" s="27">
        <f>+SUM(G42+G43)</f>
        <v>9277</v>
      </c>
      <c r="H41" s="41">
        <f t="shared" si="6"/>
        <v>-3.5955523225605357</v>
      </c>
      <c r="I41" s="76">
        <f t="shared" si="7"/>
        <v>13034</v>
      </c>
      <c r="J41" s="26">
        <f t="shared" si="8"/>
        <v>13280</v>
      </c>
      <c r="K41" s="29">
        <f t="shared" si="9"/>
        <v>1.8873714899493521</v>
      </c>
      <c r="L41" s="11"/>
    </row>
    <row r="42" spans="1:12" ht="11.85" customHeight="1">
      <c r="A42" s="24" t="s">
        <v>30</v>
      </c>
      <c r="B42" s="28"/>
      <c r="C42" s="26">
        <v>544</v>
      </c>
      <c r="D42" s="26">
        <v>727</v>
      </c>
      <c r="E42" s="41">
        <f t="shared" si="5"/>
        <v>33.639705882352942</v>
      </c>
      <c r="F42" s="26">
        <v>2540</v>
      </c>
      <c r="G42" s="27">
        <v>2332</v>
      </c>
      <c r="H42" s="41">
        <f t="shared" si="6"/>
        <v>-8.1889763779527609</v>
      </c>
      <c r="I42" s="76">
        <f t="shared" si="7"/>
        <v>3084</v>
      </c>
      <c r="J42" s="76">
        <f t="shared" si="8"/>
        <v>3059</v>
      </c>
      <c r="K42" s="29">
        <f t="shared" si="9"/>
        <v>-0.81063553826199453</v>
      </c>
      <c r="L42" s="11"/>
    </row>
    <row r="43" spans="1:12" ht="11.85" customHeight="1">
      <c r="A43" s="24" t="s">
        <v>31</v>
      </c>
      <c r="B43" s="28"/>
      <c r="C43" s="26">
        <v>2867</v>
      </c>
      <c r="D43" s="26">
        <v>3276</v>
      </c>
      <c r="E43" s="41">
        <f t="shared" si="5"/>
        <v>14.265783048482739</v>
      </c>
      <c r="F43" s="26">
        <v>7083</v>
      </c>
      <c r="G43" s="27">
        <v>6945</v>
      </c>
      <c r="H43" s="41">
        <f t="shared" si="6"/>
        <v>-1.9483269800931846</v>
      </c>
      <c r="I43" s="76">
        <f t="shared" si="7"/>
        <v>9950</v>
      </c>
      <c r="J43" s="26">
        <f t="shared" si="8"/>
        <v>10221</v>
      </c>
      <c r="K43" s="29">
        <f t="shared" si="9"/>
        <v>2.7236180904522511</v>
      </c>
      <c r="L43" s="11"/>
    </row>
    <row r="44" spans="1:12" ht="11.85" customHeight="1">
      <c r="A44" s="24" t="s">
        <v>32</v>
      </c>
      <c r="B44" s="28"/>
      <c r="C44" s="26">
        <v>264</v>
      </c>
      <c r="D44" s="26">
        <v>335</v>
      </c>
      <c r="E44" s="41">
        <f t="shared" si="5"/>
        <v>26.893939393939405</v>
      </c>
      <c r="F44" s="26">
        <v>264</v>
      </c>
      <c r="G44" s="27">
        <v>289</v>
      </c>
      <c r="H44" s="41">
        <f t="shared" si="6"/>
        <v>9.4696969696969724</v>
      </c>
      <c r="I44" s="77">
        <f t="shared" si="7"/>
        <v>528</v>
      </c>
      <c r="J44" s="41">
        <f t="shared" si="8"/>
        <v>624</v>
      </c>
      <c r="K44" s="29">
        <f t="shared" si="9"/>
        <v>18.181818181818187</v>
      </c>
      <c r="L44" s="11"/>
    </row>
    <row r="45" spans="1:12" ht="11.85" customHeight="1">
      <c r="A45" s="24" t="s">
        <v>33</v>
      </c>
      <c r="B45" s="28"/>
      <c r="C45" s="26">
        <v>864</v>
      </c>
      <c r="D45" s="26">
        <v>1123</v>
      </c>
      <c r="E45" s="41">
        <f t="shared" si="5"/>
        <v>29.976851851851862</v>
      </c>
      <c r="F45" s="26">
        <v>5849</v>
      </c>
      <c r="G45" s="27">
        <v>8266</v>
      </c>
      <c r="H45" s="41">
        <f t="shared" si="6"/>
        <v>41.323303128739951</v>
      </c>
      <c r="I45" s="76">
        <f t="shared" si="7"/>
        <v>6713</v>
      </c>
      <c r="J45" s="26">
        <f t="shared" si="8"/>
        <v>9389</v>
      </c>
      <c r="K45" s="29">
        <f t="shared" si="9"/>
        <v>39.862952480262173</v>
      </c>
      <c r="L45" s="11"/>
    </row>
    <row r="46" spans="1:12" ht="11.85" customHeight="1">
      <c r="A46" s="24" t="s">
        <v>34</v>
      </c>
      <c r="B46" s="28"/>
      <c r="C46" s="26">
        <v>288</v>
      </c>
      <c r="D46" s="26">
        <v>405</v>
      </c>
      <c r="E46" s="41">
        <f t="shared" si="5"/>
        <v>40.625</v>
      </c>
      <c r="F46" s="26">
        <v>478</v>
      </c>
      <c r="G46" s="27">
        <v>578</v>
      </c>
      <c r="H46" s="41">
        <f t="shared" si="6"/>
        <v>20.920502092050206</v>
      </c>
      <c r="I46" s="76">
        <f t="shared" si="7"/>
        <v>766</v>
      </c>
      <c r="J46" s="26">
        <f t="shared" si="8"/>
        <v>983</v>
      </c>
      <c r="K46" s="29">
        <f t="shared" si="9"/>
        <v>28.32898172323759</v>
      </c>
      <c r="L46" s="11"/>
    </row>
    <row r="47" spans="1:12" ht="11.85" customHeight="1">
      <c r="A47" s="24" t="s">
        <v>35</v>
      </c>
      <c r="B47" s="28"/>
      <c r="C47" s="26">
        <v>200</v>
      </c>
      <c r="D47" s="26">
        <v>314</v>
      </c>
      <c r="E47" s="41">
        <f t="shared" si="5"/>
        <v>57.000000000000007</v>
      </c>
      <c r="F47" s="26">
        <v>335</v>
      </c>
      <c r="G47" s="27">
        <v>279</v>
      </c>
      <c r="H47" s="41">
        <f t="shared" si="6"/>
        <v>-16.716417910447756</v>
      </c>
      <c r="I47" s="76">
        <f t="shared" si="7"/>
        <v>535</v>
      </c>
      <c r="J47" s="26">
        <f t="shared" si="8"/>
        <v>593</v>
      </c>
      <c r="K47" s="29">
        <f t="shared" si="9"/>
        <v>10.8411214953271</v>
      </c>
      <c r="L47" s="11"/>
    </row>
    <row r="48" spans="1:12" ht="11.85" customHeight="1">
      <c r="A48" s="24" t="s">
        <v>104</v>
      </c>
      <c r="B48" s="28"/>
      <c r="C48" s="26">
        <v>1177</v>
      </c>
      <c r="D48" s="26">
        <v>1123</v>
      </c>
      <c r="E48" s="41">
        <f t="shared" si="5"/>
        <v>-4.5879354290569214</v>
      </c>
      <c r="F48" s="26">
        <v>1289</v>
      </c>
      <c r="G48" s="27">
        <v>1512</v>
      </c>
      <c r="H48" s="41">
        <f t="shared" si="6"/>
        <v>17.300232738557032</v>
      </c>
      <c r="I48" s="76">
        <f t="shared" si="7"/>
        <v>2466</v>
      </c>
      <c r="J48" s="26">
        <f t="shared" si="8"/>
        <v>2635</v>
      </c>
      <c r="K48" s="29">
        <f t="shared" si="9"/>
        <v>6.8532035685320292</v>
      </c>
      <c r="L48" s="11"/>
    </row>
    <row r="49" spans="1:12" ht="11.85" customHeight="1">
      <c r="A49" s="24" t="s">
        <v>36</v>
      </c>
      <c r="B49" s="28"/>
      <c r="C49" s="26">
        <v>206</v>
      </c>
      <c r="D49" s="26">
        <v>280</v>
      </c>
      <c r="E49" s="41">
        <f t="shared" si="5"/>
        <v>35.922330097087382</v>
      </c>
      <c r="F49" s="26">
        <v>334</v>
      </c>
      <c r="G49" s="27">
        <v>269</v>
      </c>
      <c r="H49" s="41">
        <f t="shared" si="6"/>
        <v>-19.461077844311379</v>
      </c>
      <c r="I49" s="76">
        <f t="shared" si="7"/>
        <v>540</v>
      </c>
      <c r="J49" s="26">
        <f t="shared" si="8"/>
        <v>549</v>
      </c>
      <c r="K49" s="29">
        <f t="shared" si="9"/>
        <v>1.6666666666666607</v>
      </c>
      <c r="L49" s="11"/>
    </row>
    <row r="50" spans="1:12" ht="11.85" customHeight="1">
      <c r="A50" s="24" t="s">
        <v>105</v>
      </c>
      <c r="B50" s="28"/>
      <c r="C50" s="26">
        <v>332</v>
      </c>
      <c r="D50" s="26">
        <v>425</v>
      </c>
      <c r="E50" s="41">
        <f t="shared" si="5"/>
        <v>28.012048192771076</v>
      </c>
      <c r="F50" s="26">
        <v>86</v>
      </c>
      <c r="G50" s="27">
        <v>119</v>
      </c>
      <c r="H50" s="41">
        <f t="shared" si="6"/>
        <v>38.372093023255815</v>
      </c>
      <c r="I50" s="76">
        <f t="shared" si="7"/>
        <v>418</v>
      </c>
      <c r="J50" s="26">
        <f t="shared" si="8"/>
        <v>544</v>
      </c>
      <c r="K50" s="29">
        <f t="shared" si="9"/>
        <v>30.143540669856449</v>
      </c>
      <c r="L50" s="11"/>
    </row>
    <row r="51" spans="1:12" ht="11.85" customHeight="1">
      <c r="A51" s="24" t="s">
        <v>37</v>
      </c>
      <c r="B51" s="28"/>
      <c r="C51" s="26">
        <v>774</v>
      </c>
      <c r="D51" s="26">
        <v>965</v>
      </c>
      <c r="E51" s="41">
        <f t="shared" si="5"/>
        <v>24.677002583979334</v>
      </c>
      <c r="F51" s="26">
        <v>1135</v>
      </c>
      <c r="G51" s="27">
        <v>1675</v>
      </c>
      <c r="H51" s="41">
        <f t="shared" si="6"/>
        <v>47.577092511013205</v>
      </c>
      <c r="I51" s="76">
        <f t="shared" si="7"/>
        <v>1909</v>
      </c>
      <c r="J51" s="26">
        <f t="shared" si="8"/>
        <v>2640</v>
      </c>
      <c r="K51" s="29">
        <f t="shared" si="9"/>
        <v>38.292299633315864</v>
      </c>
      <c r="L51" s="11"/>
    </row>
    <row r="52" spans="1:12" ht="11.85" customHeight="1">
      <c r="A52" s="24" t="s">
        <v>38</v>
      </c>
      <c r="B52" s="28"/>
      <c r="C52" s="26">
        <v>371</v>
      </c>
      <c r="D52" s="26">
        <v>502</v>
      </c>
      <c r="E52" s="41">
        <f t="shared" si="5"/>
        <v>35.309973045822105</v>
      </c>
      <c r="F52" s="26">
        <v>1893</v>
      </c>
      <c r="G52" s="27">
        <v>2099</v>
      </c>
      <c r="H52" s="41">
        <f t="shared" si="6"/>
        <v>10.882197569994712</v>
      </c>
      <c r="I52" s="76">
        <f t="shared" si="7"/>
        <v>2264</v>
      </c>
      <c r="J52" s="26">
        <f t="shared" si="8"/>
        <v>2601</v>
      </c>
      <c r="K52" s="29">
        <f t="shared" si="9"/>
        <v>14.885159010600702</v>
      </c>
      <c r="L52" s="11"/>
    </row>
    <row r="53" spans="1:12" ht="11.85" customHeight="1">
      <c r="A53" s="24" t="s">
        <v>39</v>
      </c>
      <c r="B53" s="28"/>
      <c r="C53" s="26">
        <v>94</v>
      </c>
      <c r="D53" s="26">
        <v>118</v>
      </c>
      <c r="E53" s="41">
        <f t="shared" si="5"/>
        <v>25.531914893617014</v>
      </c>
      <c r="F53" s="26">
        <v>58</v>
      </c>
      <c r="G53" s="27">
        <v>75</v>
      </c>
      <c r="H53" s="41">
        <f t="shared" si="6"/>
        <v>29.31034482758621</v>
      </c>
      <c r="I53" s="76">
        <f t="shared" si="7"/>
        <v>152</v>
      </c>
      <c r="J53" s="26">
        <f t="shared" si="8"/>
        <v>193</v>
      </c>
      <c r="K53" s="29">
        <f t="shared" si="9"/>
        <v>26.973684210526304</v>
      </c>
      <c r="L53" s="11"/>
    </row>
    <row r="54" spans="1:12" ht="11.85" customHeight="1">
      <c r="A54" s="24" t="s">
        <v>40</v>
      </c>
      <c r="B54" s="28"/>
      <c r="C54" s="26">
        <v>5848</v>
      </c>
      <c r="D54" s="26">
        <v>6920</v>
      </c>
      <c r="E54" s="41">
        <f t="shared" si="5"/>
        <v>18.331053351573189</v>
      </c>
      <c r="F54" s="26">
        <v>32739</v>
      </c>
      <c r="G54" s="27">
        <v>34978</v>
      </c>
      <c r="H54" s="41">
        <f t="shared" si="6"/>
        <v>6.838938269342365</v>
      </c>
      <c r="I54" s="76">
        <f t="shared" si="7"/>
        <v>38587</v>
      </c>
      <c r="J54" s="26">
        <f t="shared" si="8"/>
        <v>41898</v>
      </c>
      <c r="K54" s="29">
        <f t="shared" si="9"/>
        <v>8.5806100500168458</v>
      </c>
      <c r="L54" s="11"/>
    </row>
    <row r="55" spans="1:12" ht="11.85" customHeight="1">
      <c r="A55" s="24" t="s">
        <v>41</v>
      </c>
      <c r="B55" s="28"/>
      <c r="C55" s="26">
        <v>171</v>
      </c>
      <c r="D55" s="26">
        <v>300</v>
      </c>
      <c r="E55" s="41">
        <f t="shared" si="5"/>
        <v>75.438596491228054</v>
      </c>
      <c r="F55" s="26">
        <v>491</v>
      </c>
      <c r="G55" s="27">
        <v>781</v>
      </c>
      <c r="H55" s="41">
        <f t="shared" si="6"/>
        <v>59.063136456211815</v>
      </c>
      <c r="I55" s="76">
        <f t="shared" si="7"/>
        <v>662</v>
      </c>
      <c r="J55" s="26">
        <f t="shared" si="8"/>
        <v>1081</v>
      </c>
      <c r="K55" s="29">
        <f t="shared" si="9"/>
        <v>63.293051359516618</v>
      </c>
      <c r="L55" s="11"/>
    </row>
    <row r="56" spans="1:12" ht="11.85" customHeight="1">
      <c r="A56" s="24" t="s">
        <v>42</v>
      </c>
      <c r="B56" s="28"/>
      <c r="C56" s="26">
        <v>3085</v>
      </c>
      <c r="D56" s="26">
        <v>3015</v>
      </c>
      <c r="E56" s="41">
        <f t="shared" si="5"/>
        <v>-2.2690437601296631</v>
      </c>
      <c r="F56" s="26">
        <v>19286</v>
      </c>
      <c r="G56" s="27">
        <v>22998</v>
      </c>
      <c r="H56" s="41">
        <f t="shared" si="6"/>
        <v>19.247122264855342</v>
      </c>
      <c r="I56" s="76">
        <f t="shared" si="7"/>
        <v>22371</v>
      </c>
      <c r="J56" s="26">
        <f t="shared" si="8"/>
        <v>26013</v>
      </c>
      <c r="K56" s="29">
        <f t="shared" si="9"/>
        <v>16.280005364087422</v>
      </c>
      <c r="L56" s="11"/>
    </row>
    <row r="57" spans="1:12" ht="11.85" customHeight="1">
      <c r="A57" s="24" t="s">
        <v>43</v>
      </c>
      <c r="B57" s="28"/>
      <c r="C57" s="26">
        <v>694</v>
      </c>
      <c r="D57" s="26">
        <v>860</v>
      </c>
      <c r="E57" s="41">
        <f t="shared" si="5"/>
        <v>23.919308357348701</v>
      </c>
      <c r="F57" s="26">
        <v>2515</v>
      </c>
      <c r="G57" s="27">
        <v>3949</v>
      </c>
      <c r="H57" s="41">
        <f t="shared" si="6"/>
        <v>57.017892644135195</v>
      </c>
      <c r="I57" s="76">
        <f t="shared" si="7"/>
        <v>3209</v>
      </c>
      <c r="J57" s="26">
        <f t="shared" si="8"/>
        <v>4809</v>
      </c>
      <c r="K57" s="29">
        <f t="shared" si="9"/>
        <v>49.859769398566534</v>
      </c>
      <c r="L57" s="11"/>
    </row>
    <row r="58" spans="1:12" ht="11.85" customHeight="1">
      <c r="A58" s="24" t="s">
        <v>44</v>
      </c>
      <c r="B58" s="28"/>
      <c r="C58" s="26">
        <v>650</v>
      </c>
      <c r="D58" s="26">
        <v>528</v>
      </c>
      <c r="E58" s="41">
        <f t="shared" si="5"/>
        <v>-18.76923076923077</v>
      </c>
      <c r="F58" s="26">
        <v>905</v>
      </c>
      <c r="G58" s="27">
        <v>930</v>
      </c>
      <c r="H58" s="41">
        <f t="shared" si="6"/>
        <v>2.7624309392265234</v>
      </c>
      <c r="I58" s="76">
        <f t="shared" si="7"/>
        <v>1555</v>
      </c>
      <c r="J58" s="26">
        <f t="shared" si="8"/>
        <v>1458</v>
      </c>
      <c r="K58" s="29">
        <f t="shared" si="9"/>
        <v>-6.2379421221864906</v>
      </c>
      <c r="L58" s="11"/>
    </row>
    <row r="59" spans="1:12" ht="11.85" customHeight="1">
      <c r="A59" s="30" t="s">
        <v>45</v>
      </c>
      <c r="B59" s="34"/>
      <c r="C59" s="26">
        <v>1652</v>
      </c>
      <c r="D59" s="26">
        <v>2167</v>
      </c>
      <c r="E59" s="41">
        <f t="shared" si="5"/>
        <v>31.174334140435846</v>
      </c>
      <c r="F59" s="26">
        <v>3388</v>
      </c>
      <c r="G59" s="27">
        <v>3527</v>
      </c>
      <c r="H59" s="43">
        <f t="shared" si="6"/>
        <v>4.1027154663518361</v>
      </c>
      <c r="I59" s="60">
        <f t="shared" si="7"/>
        <v>5040</v>
      </c>
      <c r="J59" s="32">
        <f t="shared" si="8"/>
        <v>5694</v>
      </c>
      <c r="K59" s="35">
        <f t="shared" si="9"/>
        <v>12.976190476190474</v>
      </c>
      <c r="L59" s="11"/>
    </row>
    <row r="60" spans="1:12" ht="12" customHeight="1" thickBot="1">
      <c r="A60" s="17" t="s">
        <v>46</v>
      </c>
      <c r="B60" s="44"/>
      <c r="C60" s="45">
        <f>SUM(C23:C41,C44:C59)</f>
        <v>38671</v>
      </c>
      <c r="D60" s="45">
        <f>SUM(D23:D41,D44:D59)</f>
        <v>48201</v>
      </c>
      <c r="E60" s="46">
        <f>IF(C60=D60,"-",IF((C60=0),"##",IF(ABS((D60/C60-1)*100)&gt;=500,"##",(D60/C60-1)*100)))</f>
        <v>24.643789920095173</v>
      </c>
      <c r="F60" s="45">
        <f>SUM(F23:F41,F44:F59)</f>
        <v>137436</v>
      </c>
      <c r="G60" s="45">
        <f>SUM(G23:G41,G44:G59)</f>
        <v>163083</v>
      </c>
      <c r="H60" s="46">
        <f>IF(F60=G60,"-",IF((F60=0),"##",IF(ABS((G60/F60-1)*100)&gt;=500,"##",(G60/F60-1)*100)))</f>
        <v>18.661049506679483</v>
      </c>
      <c r="I60" s="72">
        <f t="shared" si="7"/>
        <v>176107</v>
      </c>
      <c r="J60" s="45">
        <f t="shared" si="8"/>
        <v>211284</v>
      </c>
      <c r="K60" s="47">
        <f>IF(I60=J60,"-",IF((I60=0),"##",IF(ABS((J60/I60-1)*100)&gt;=500,"##",(J60/I60-1)*100)))</f>
        <v>19.97478805498929</v>
      </c>
      <c r="L60" s="11"/>
    </row>
    <row r="61" spans="1:12" ht="12" customHeight="1">
      <c r="A61" s="53" t="str">
        <f>Titles!A8</f>
        <v>Data for  2020 and  2021  based on 2016 Census Definitions.</v>
      </c>
      <c r="B61" s="338"/>
      <c r="C61" s="339"/>
      <c r="D61" s="339"/>
      <c r="E61" s="339"/>
      <c r="F61" s="53"/>
      <c r="G61" s="338"/>
      <c r="H61" s="338"/>
      <c r="I61" s="338"/>
      <c r="J61" s="338"/>
      <c r="K61" s="341"/>
      <c r="L61" s="11"/>
    </row>
    <row r="62" spans="1:12" s="345" customFormat="1" ht="12" customHeight="1">
      <c r="A62" s="404" t="str">
        <f>Titles!A10</f>
        <v>Source: CMHC Starts and Completion Survey, Market Absorption Survey</v>
      </c>
      <c r="B62" s="344"/>
      <c r="C62" s="344"/>
      <c r="D62" s="344"/>
      <c r="E62" s="344"/>
      <c r="F62" s="404"/>
      <c r="G62" s="344"/>
      <c r="H62" s="344"/>
      <c r="I62" s="344"/>
      <c r="J62" s="344"/>
      <c r="K62" s="10"/>
    </row>
    <row r="63" spans="1:12">
      <c r="A63" s="53"/>
      <c r="F63" s="53"/>
    </row>
  </sheetData>
  <phoneticPr fontId="11" type="noConversion"/>
  <pageMargins left="0.78740157480314965" right="0.51181102362204722" top="0.51181102362204722" bottom="0.51181102362204722" header="0.51181102362204722" footer="0.51181102362204722"/>
  <pageSetup scale="95" orientation="portrait" r:id="rId1"/>
  <headerFooter alignWithMargins="0"/>
  <ignoredErrors>
    <ignoredError sqref="I60:K60 K8:K24 C60:D60 F60:G60 K26:K35 K37:K59 H26:J35 E26:E35 F41:G41 C41:D41 F20:G22 C20:D22 F18:G18 C18:D18 F12:G12 C12:D12 E37:E40 H21:H24 E21:E24 E8:E11 I8:J24 E42:E59 H8:H11 I37:J59 H13:H17 H37:H40 H42:H59 E13:E17 E19 H19 J36 E36 H36:I36 K36 J25 E25 H25:I25 K25 A61:D62 A2:K4" unlockedFormula="1"/>
    <ignoredError sqref="H60 E60 E41 E12 E18 E20 H20 H41 H18 H12" formula="1" unlocked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62"/>
  <sheetViews>
    <sheetView showGridLines="0" zoomScaleNormal="100" workbookViewId="0"/>
  </sheetViews>
  <sheetFormatPr defaultColWidth="11.5546875" defaultRowHeight="12"/>
  <cols>
    <col min="1" max="1" width="7.77734375" style="12" customWidth="1"/>
    <col min="2" max="3" width="8.77734375" style="12" customWidth="1"/>
    <col min="4" max="8" width="9.77734375" style="12" customWidth="1"/>
    <col min="9" max="16384" width="11.5546875" style="12"/>
  </cols>
  <sheetData>
    <row r="1" spans="1:9" ht="15.95" customHeight="1">
      <c r="A1" s="493" t="s">
        <v>161</v>
      </c>
      <c r="B1" s="494"/>
      <c r="C1" s="494"/>
      <c r="D1" s="494"/>
      <c r="E1" s="494"/>
      <c r="F1" s="494"/>
      <c r="G1" s="494"/>
      <c r="H1" s="495"/>
      <c r="I1" s="79"/>
    </row>
    <row r="2" spans="1:9" ht="15.95" customHeight="1">
      <c r="A2" s="496" t="s">
        <v>51</v>
      </c>
      <c r="B2" s="497"/>
      <c r="C2" s="497"/>
      <c r="D2" s="497"/>
      <c r="E2" s="497"/>
      <c r="F2" s="497"/>
      <c r="G2" s="497"/>
      <c r="H2" s="498"/>
      <c r="I2" s="79"/>
    </row>
    <row r="3" spans="1:9" ht="15.95" customHeight="1">
      <c r="A3" s="499"/>
      <c r="B3" s="537"/>
      <c r="C3" s="537"/>
      <c r="D3" s="537"/>
      <c r="E3" s="537"/>
      <c r="F3" s="537"/>
      <c r="G3" s="537"/>
      <c r="H3" s="538"/>
      <c r="I3" s="79"/>
    </row>
    <row r="4" spans="1:9" ht="15.95" customHeight="1" thickBot="1">
      <c r="A4" s="502"/>
      <c r="B4" s="539"/>
      <c r="C4" s="539"/>
      <c r="D4" s="539"/>
      <c r="E4" s="539"/>
      <c r="F4" s="539"/>
      <c r="G4" s="539"/>
      <c r="H4" s="540"/>
      <c r="I4" s="79"/>
    </row>
    <row r="5" spans="1:9" ht="13.5">
      <c r="A5" s="80"/>
      <c r="B5" s="81"/>
      <c r="C5" s="96"/>
      <c r="D5" s="95"/>
      <c r="E5" s="82" t="s">
        <v>97</v>
      </c>
      <c r="F5" s="96"/>
      <c r="G5" s="109"/>
      <c r="H5" s="627"/>
      <c r="I5" s="79"/>
    </row>
    <row r="6" spans="1:9">
      <c r="A6" s="83"/>
      <c r="B6" s="84"/>
      <c r="C6" s="97"/>
      <c r="D6" s="167"/>
      <c r="E6" s="168"/>
      <c r="F6" s="119"/>
      <c r="G6" s="119"/>
      <c r="H6" s="628" t="s">
        <v>52</v>
      </c>
      <c r="I6" s="79"/>
    </row>
    <row r="7" spans="1:9" ht="11.25" customHeight="1">
      <c r="A7" s="85" t="s">
        <v>75</v>
      </c>
      <c r="B7" s="84"/>
      <c r="C7" s="97"/>
      <c r="D7" s="451" t="s">
        <v>53</v>
      </c>
      <c r="E7" s="451" t="s">
        <v>56</v>
      </c>
      <c r="F7" s="453" t="s">
        <v>46</v>
      </c>
      <c r="G7" s="98" t="s">
        <v>54</v>
      </c>
      <c r="H7" s="586" t="s">
        <v>14</v>
      </c>
      <c r="I7" s="79"/>
    </row>
    <row r="8" spans="1:9" ht="21" customHeight="1">
      <c r="A8" s="642"/>
      <c r="B8" s="643"/>
      <c r="C8" s="644"/>
      <c r="D8" s="645" t="s">
        <v>55</v>
      </c>
      <c r="E8" s="645" t="s">
        <v>58</v>
      </c>
      <c r="F8" s="646"/>
      <c r="G8" s="647" t="s">
        <v>57</v>
      </c>
      <c r="H8" s="648"/>
      <c r="I8" s="79"/>
    </row>
    <row r="9" spans="1:9" ht="21" hidden="1" customHeight="1">
      <c r="A9" s="79"/>
      <c r="B9" s="84"/>
      <c r="C9" s="97"/>
      <c r="D9" s="452"/>
      <c r="F9" s="99"/>
      <c r="G9" s="99"/>
      <c r="H9" s="106"/>
      <c r="I9" s="79"/>
    </row>
    <row r="10" spans="1:9" ht="21" hidden="1" customHeight="1">
      <c r="A10" s="84"/>
      <c r="B10" s="84"/>
      <c r="C10" s="97"/>
      <c r="D10" s="452"/>
      <c r="E10" s="452"/>
      <c r="F10" s="99"/>
      <c r="G10" s="99"/>
      <c r="H10" s="99"/>
      <c r="I10" s="79"/>
    </row>
    <row r="11" spans="1:9" ht="21" customHeight="1">
      <c r="A11" s="656" t="s">
        <v>130</v>
      </c>
      <c r="B11" s="658"/>
      <c r="C11" s="659"/>
      <c r="D11" s="661">
        <v>46941</v>
      </c>
      <c r="E11" s="661">
        <v>149788</v>
      </c>
      <c r="F11" s="662">
        <f>SUM(D11:E11)</f>
        <v>196729</v>
      </c>
      <c r="G11" s="661">
        <v>11956</v>
      </c>
      <c r="H11" s="679">
        <v>208685</v>
      </c>
      <c r="I11" s="79"/>
    </row>
    <row r="12" spans="1:9" ht="27.75" customHeight="1">
      <c r="A12" s="649" t="s">
        <v>136</v>
      </c>
      <c r="B12" s="84"/>
      <c r="C12" s="97"/>
      <c r="D12" s="650">
        <v>49740</v>
      </c>
      <c r="E12" s="650">
        <v>152383</v>
      </c>
      <c r="F12" s="651">
        <f>SUM(D12:E12)</f>
        <v>202123</v>
      </c>
      <c r="G12" s="650">
        <v>15679</v>
      </c>
      <c r="H12" s="652">
        <v>217802</v>
      </c>
      <c r="I12" s="79"/>
    </row>
    <row r="13" spans="1:9">
      <c r="A13" s="110">
        <v>2020</v>
      </c>
      <c r="B13" s="111" t="s">
        <v>59</v>
      </c>
      <c r="C13" s="169"/>
      <c r="D13" s="112">
        <v>49709.999999999993</v>
      </c>
      <c r="E13" s="112">
        <v>136053</v>
      </c>
      <c r="F13" s="112">
        <v>185763</v>
      </c>
      <c r="G13" s="112">
        <v>11675</v>
      </c>
      <c r="H13" s="113">
        <f>IF(SUM(F13,G13)=0,"",SUM(F13,G13))</f>
        <v>197438</v>
      </c>
      <c r="I13" s="79"/>
    </row>
    <row r="14" spans="1:9">
      <c r="A14" s="114"/>
      <c r="B14" s="115" t="s">
        <v>60</v>
      </c>
      <c r="C14" s="170"/>
      <c r="D14" s="116">
        <v>41706</v>
      </c>
      <c r="E14" s="116">
        <v>136738</v>
      </c>
      <c r="F14" s="116">
        <v>178444.00000000003</v>
      </c>
      <c r="G14" s="116">
        <v>13967.999999999998</v>
      </c>
      <c r="H14" s="117">
        <f>IF(SUM(F14,G14)=0,"",SUM(F14,G14))</f>
        <v>192412.00000000003</v>
      </c>
      <c r="I14" s="79"/>
    </row>
    <row r="15" spans="1:9">
      <c r="A15" s="118"/>
      <c r="B15" s="115" t="s">
        <v>61</v>
      </c>
      <c r="C15" s="170"/>
      <c r="D15" s="116">
        <v>50449</v>
      </c>
      <c r="E15" s="116">
        <v>175711</v>
      </c>
      <c r="F15" s="116">
        <v>226160</v>
      </c>
      <c r="G15" s="116">
        <v>14213.000000000002</v>
      </c>
      <c r="H15" s="117">
        <f>IF(SUM(F15,G15)=0,"",SUM(F15,G15))</f>
        <v>240373</v>
      </c>
      <c r="I15" s="79"/>
    </row>
    <row r="16" spans="1:9">
      <c r="A16" s="89"/>
      <c r="B16" s="87" t="s">
        <v>62</v>
      </c>
      <c r="C16" s="172"/>
      <c r="D16" s="116">
        <v>57455.000000000007</v>
      </c>
      <c r="E16" s="116">
        <v>162475</v>
      </c>
      <c r="F16" s="116">
        <v>219929.99999999997</v>
      </c>
      <c r="G16" s="116">
        <v>23125</v>
      </c>
      <c r="H16" s="117">
        <f>IF(SUM(F16,G16)=0,"",SUM(F16,G16))</f>
        <v>243054.99999999997</v>
      </c>
      <c r="I16" s="79"/>
    </row>
    <row r="17" spans="1:9">
      <c r="A17" s="631"/>
      <c r="B17" s="632"/>
      <c r="C17" s="633"/>
      <c r="D17" s="634"/>
      <c r="E17" s="634"/>
      <c r="F17" s="635"/>
      <c r="G17" s="635"/>
      <c r="H17" s="636"/>
      <c r="I17" s="79"/>
    </row>
    <row r="18" spans="1:9">
      <c r="A18" s="140">
        <v>2021</v>
      </c>
      <c r="B18" s="141" t="s">
        <v>59</v>
      </c>
      <c r="C18" s="171"/>
      <c r="D18" s="139">
        <v>73117</v>
      </c>
      <c r="E18" s="139">
        <v>190714.00000000003</v>
      </c>
      <c r="F18" s="139">
        <v>263831</v>
      </c>
      <c r="G18" s="139">
        <v>24985.999999999996</v>
      </c>
      <c r="H18" s="136">
        <f t="shared" ref="H18:H23" si="0">IF(SUM(F18,G18)=0,"",SUM(F18,G18))</f>
        <v>288817</v>
      </c>
      <c r="I18" s="79"/>
    </row>
    <row r="19" spans="1:9">
      <c r="A19" s="114"/>
      <c r="B19" s="115" t="s">
        <v>60</v>
      </c>
      <c r="C19" s="170"/>
      <c r="D19" s="116">
        <v>66183</v>
      </c>
      <c r="E19" s="116">
        <v>181952</v>
      </c>
      <c r="F19" s="116">
        <v>248135</v>
      </c>
      <c r="G19" s="139">
        <v>29736.000000000004</v>
      </c>
      <c r="H19" s="117">
        <f t="shared" si="0"/>
        <v>277871</v>
      </c>
      <c r="I19" s="79"/>
    </row>
    <row r="20" spans="1:9">
      <c r="A20" s="118"/>
      <c r="B20" s="115" t="s">
        <v>61</v>
      </c>
      <c r="C20" s="170"/>
      <c r="D20" s="116">
        <v>60837</v>
      </c>
      <c r="E20" s="116">
        <v>174634</v>
      </c>
      <c r="F20" s="116">
        <v>235471</v>
      </c>
      <c r="G20" s="116">
        <v>27698.999999999996</v>
      </c>
      <c r="H20" s="117">
        <f t="shared" si="0"/>
        <v>263170</v>
      </c>
      <c r="I20" s="79"/>
    </row>
    <row r="21" spans="1:9">
      <c r="A21" s="89"/>
      <c r="B21" s="87" t="s">
        <v>62</v>
      </c>
      <c r="C21" s="172"/>
      <c r="D21" s="116">
        <v>58189.000000000007</v>
      </c>
      <c r="E21" s="116">
        <v>179514</v>
      </c>
      <c r="F21" s="116">
        <v>237703</v>
      </c>
      <c r="G21" s="116">
        <v>26224.000000000004</v>
      </c>
      <c r="H21" s="107">
        <f t="shared" si="0"/>
        <v>263927</v>
      </c>
      <c r="I21" s="79"/>
    </row>
    <row r="22" spans="1:9">
      <c r="A22" s="110">
        <f>A13</f>
        <v>2020</v>
      </c>
      <c r="B22" s="111" t="s">
        <v>63</v>
      </c>
      <c r="C22" s="173"/>
      <c r="D22" s="112">
        <v>47171</v>
      </c>
      <c r="E22" s="112">
        <v>148851</v>
      </c>
      <c r="F22" s="112">
        <v>196022</v>
      </c>
      <c r="G22" s="112">
        <v>14988.000000000002</v>
      </c>
      <c r="H22" s="113">
        <f t="shared" si="0"/>
        <v>211010</v>
      </c>
      <c r="I22" s="79"/>
    </row>
    <row r="23" spans="1:9">
      <c r="A23" s="120"/>
      <c r="B23" s="115" t="s">
        <v>64</v>
      </c>
      <c r="C23" s="174"/>
      <c r="D23" s="116">
        <v>51364</v>
      </c>
      <c r="E23" s="116">
        <v>141761.00000000003</v>
      </c>
      <c r="F23" s="116">
        <v>193124.99999999997</v>
      </c>
      <c r="G23" s="116">
        <v>14663</v>
      </c>
      <c r="H23" s="117">
        <f t="shared" si="0"/>
        <v>207787.99999999997</v>
      </c>
      <c r="I23" s="79"/>
    </row>
    <row r="24" spans="1:9">
      <c r="A24" s="120"/>
      <c r="B24" s="115" t="s">
        <v>65</v>
      </c>
      <c r="C24" s="174"/>
      <c r="D24" s="116">
        <v>55399</v>
      </c>
      <c r="E24" s="116">
        <v>123854.00000000001</v>
      </c>
      <c r="F24" s="116">
        <v>179253</v>
      </c>
      <c r="G24" s="116">
        <v>13963.999999999998</v>
      </c>
      <c r="H24" s="117">
        <f t="shared" ref="H24:H46" si="1">IF(SUM(F24,G24)=0,"",SUM(F24,G24))</f>
        <v>193217</v>
      </c>
      <c r="I24" s="79"/>
    </row>
    <row r="25" spans="1:9">
      <c r="A25" s="120"/>
      <c r="B25" s="115" t="s">
        <v>66</v>
      </c>
      <c r="C25" s="174"/>
      <c r="D25" s="116">
        <v>35937.000000000007</v>
      </c>
      <c r="E25" s="116">
        <v>119976.99999999999</v>
      </c>
      <c r="F25" s="116">
        <v>155914.00000000003</v>
      </c>
      <c r="G25" s="116">
        <v>7116.9999999999991</v>
      </c>
      <c r="H25" s="117">
        <f t="shared" si="1"/>
        <v>163031.00000000003</v>
      </c>
      <c r="I25" s="79"/>
    </row>
    <row r="26" spans="1:9">
      <c r="A26" s="120"/>
      <c r="B26" s="115" t="s">
        <v>67</v>
      </c>
      <c r="C26" s="174"/>
      <c r="D26" s="116">
        <v>45476</v>
      </c>
      <c r="E26" s="116">
        <v>136569.00000000003</v>
      </c>
      <c r="F26" s="116">
        <v>182045.00000000003</v>
      </c>
      <c r="G26" s="116">
        <v>13383.999999999998</v>
      </c>
      <c r="H26" s="117">
        <f t="shared" si="1"/>
        <v>195429.00000000003</v>
      </c>
      <c r="I26" s="79"/>
    </row>
    <row r="27" spans="1:9">
      <c r="A27" s="120"/>
      <c r="B27" s="115" t="s">
        <v>68</v>
      </c>
      <c r="C27" s="174"/>
      <c r="D27" s="116">
        <v>43802</v>
      </c>
      <c r="E27" s="116">
        <v>153679</v>
      </c>
      <c r="F27" s="116">
        <v>197481</v>
      </c>
      <c r="G27" s="116">
        <v>13709.000000000002</v>
      </c>
      <c r="H27" s="117">
        <f t="shared" si="1"/>
        <v>211190</v>
      </c>
      <c r="I27" s="79"/>
    </row>
    <row r="28" spans="1:9">
      <c r="A28" s="120"/>
      <c r="B28" s="115" t="s">
        <v>69</v>
      </c>
      <c r="C28" s="174"/>
      <c r="D28" s="116">
        <v>49804</v>
      </c>
      <c r="E28" s="116">
        <v>180917</v>
      </c>
      <c r="F28" s="116">
        <v>230721</v>
      </c>
      <c r="G28" s="116">
        <v>14346</v>
      </c>
      <c r="H28" s="117">
        <f t="shared" si="1"/>
        <v>245067</v>
      </c>
      <c r="I28" s="79"/>
    </row>
    <row r="29" spans="1:9">
      <c r="A29" s="120"/>
      <c r="B29" s="115" t="s">
        <v>70</v>
      </c>
      <c r="C29" s="174"/>
      <c r="D29" s="116">
        <v>48253</v>
      </c>
      <c r="E29" s="116">
        <v>200661.99999999997</v>
      </c>
      <c r="F29" s="116">
        <v>248915</v>
      </c>
      <c r="G29" s="116">
        <v>14178</v>
      </c>
      <c r="H29" s="117">
        <f t="shared" si="1"/>
        <v>263093</v>
      </c>
      <c r="I29" s="79"/>
    </row>
    <row r="30" spans="1:9">
      <c r="A30" s="120"/>
      <c r="B30" s="115" t="s">
        <v>71</v>
      </c>
      <c r="C30" s="174"/>
      <c r="D30" s="116">
        <v>51919.999999999993</v>
      </c>
      <c r="E30" s="116">
        <v>146036</v>
      </c>
      <c r="F30" s="116">
        <v>197956.00000000003</v>
      </c>
      <c r="G30" s="116">
        <v>14695</v>
      </c>
      <c r="H30" s="117">
        <f t="shared" si="1"/>
        <v>212651.00000000003</v>
      </c>
      <c r="I30" s="79"/>
    </row>
    <row r="31" spans="1:9">
      <c r="A31" s="120"/>
      <c r="B31" s="115" t="s">
        <v>72</v>
      </c>
      <c r="C31" s="174"/>
      <c r="D31" s="116">
        <v>59331.999999999993</v>
      </c>
      <c r="E31" s="116">
        <v>148480.00000000003</v>
      </c>
      <c r="F31" s="116">
        <v>207812.00000000003</v>
      </c>
      <c r="G31" s="116">
        <v>19969</v>
      </c>
      <c r="H31" s="117">
        <f t="shared" si="1"/>
        <v>227781.00000000003</v>
      </c>
      <c r="I31" s="79"/>
    </row>
    <row r="32" spans="1:9">
      <c r="A32" s="120"/>
      <c r="B32" s="115" t="s">
        <v>73</v>
      </c>
      <c r="C32" s="174"/>
      <c r="D32" s="116">
        <v>57117.999999999993</v>
      </c>
      <c r="E32" s="116">
        <v>179453.99999999997</v>
      </c>
      <c r="F32" s="116">
        <v>236572</v>
      </c>
      <c r="G32" s="116">
        <v>21220.000000000004</v>
      </c>
      <c r="H32" s="117">
        <f t="shared" si="1"/>
        <v>257792</v>
      </c>
      <c r="I32" s="79"/>
    </row>
    <row r="33" spans="1:12">
      <c r="A33" s="120"/>
      <c r="B33" s="115" t="s">
        <v>74</v>
      </c>
      <c r="C33" s="174"/>
      <c r="D33" s="116">
        <v>52367</v>
      </c>
      <c r="E33" s="116">
        <v>159291</v>
      </c>
      <c r="F33" s="116">
        <v>211658.00000000003</v>
      </c>
      <c r="G33" s="116">
        <v>21375</v>
      </c>
      <c r="H33" s="117">
        <f t="shared" si="1"/>
        <v>233033.00000000003</v>
      </c>
      <c r="I33" s="79"/>
    </row>
    <row r="34" spans="1:12">
      <c r="A34" s="637"/>
      <c r="B34" s="632"/>
      <c r="C34" s="638"/>
      <c r="D34" s="639"/>
      <c r="E34" s="639"/>
      <c r="F34" s="639"/>
      <c r="G34" s="640"/>
      <c r="H34" s="641"/>
      <c r="I34" s="79"/>
    </row>
    <row r="35" spans="1:12">
      <c r="A35" s="140">
        <f>A18</f>
        <v>2021</v>
      </c>
      <c r="B35" s="141" t="s">
        <v>63</v>
      </c>
      <c r="C35" s="175"/>
      <c r="D35" s="139">
        <v>77436</v>
      </c>
      <c r="E35" s="139">
        <v>201480.00000000003</v>
      </c>
      <c r="F35" s="139">
        <v>278916</v>
      </c>
      <c r="G35" s="100">
        <v>36588</v>
      </c>
      <c r="H35" s="136">
        <f t="shared" si="1"/>
        <v>315504</v>
      </c>
      <c r="I35" s="79"/>
    </row>
    <row r="36" spans="1:12">
      <c r="A36" s="120"/>
      <c r="B36" s="115" t="s">
        <v>64</v>
      </c>
      <c r="C36" s="174"/>
      <c r="D36" s="116">
        <v>73398</v>
      </c>
      <c r="E36" s="116">
        <v>161282</v>
      </c>
      <c r="F36" s="116">
        <v>234680</v>
      </c>
      <c r="G36" s="116">
        <v>32304.000000000004</v>
      </c>
      <c r="H36" s="117">
        <f t="shared" si="1"/>
        <v>266984</v>
      </c>
      <c r="I36" s="79"/>
    </row>
    <row r="37" spans="1:12">
      <c r="A37" s="120"/>
      <c r="B37" s="115" t="s">
        <v>65</v>
      </c>
      <c r="C37" s="174"/>
      <c r="D37" s="116">
        <v>77008.999999999985</v>
      </c>
      <c r="E37" s="116">
        <v>219748</v>
      </c>
      <c r="F37" s="116">
        <v>296757</v>
      </c>
      <c r="G37" s="116">
        <v>33358</v>
      </c>
      <c r="H37" s="117">
        <f t="shared" si="1"/>
        <v>330115</v>
      </c>
      <c r="I37" s="79"/>
    </row>
    <row r="38" spans="1:12">
      <c r="A38" s="120"/>
      <c r="B38" s="115" t="s">
        <v>66</v>
      </c>
      <c r="C38" s="174"/>
      <c r="D38" s="116">
        <v>78762.999999999985</v>
      </c>
      <c r="E38" s="116">
        <v>169989</v>
      </c>
      <c r="F38" s="116">
        <v>248751.99999999997</v>
      </c>
      <c r="G38" s="116">
        <v>27272</v>
      </c>
      <c r="H38" s="117">
        <f t="shared" si="1"/>
        <v>276024</v>
      </c>
      <c r="I38" s="79"/>
    </row>
    <row r="39" spans="1:12">
      <c r="A39" s="120"/>
      <c r="B39" s="115" t="s">
        <v>67</v>
      </c>
      <c r="C39" s="174"/>
      <c r="D39" s="116">
        <v>65835</v>
      </c>
      <c r="E39" s="116">
        <v>188483.99999999997</v>
      </c>
      <c r="F39" s="116">
        <v>254319</v>
      </c>
      <c r="G39" s="116">
        <v>29641</v>
      </c>
      <c r="H39" s="117">
        <f t="shared" si="1"/>
        <v>283960</v>
      </c>
      <c r="I39" s="79"/>
    </row>
    <row r="40" spans="1:12">
      <c r="A40" s="120"/>
      <c r="B40" s="115" t="s">
        <v>68</v>
      </c>
      <c r="C40" s="174"/>
      <c r="D40" s="116">
        <v>59997</v>
      </c>
      <c r="E40" s="116">
        <v>189264</v>
      </c>
      <c r="F40" s="116">
        <v>249260.99999999997</v>
      </c>
      <c r="G40" s="116">
        <v>29079</v>
      </c>
      <c r="H40" s="117">
        <f t="shared" si="1"/>
        <v>278340</v>
      </c>
      <c r="I40" s="79"/>
    </row>
    <row r="41" spans="1:12">
      <c r="A41" s="120"/>
      <c r="B41" s="115" t="s">
        <v>69</v>
      </c>
      <c r="C41" s="174"/>
      <c r="D41" s="116">
        <v>62405</v>
      </c>
      <c r="E41" s="116">
        <v>182300</v>
      </c>
      <c r="F41" s="116">
        <v>244704.99999999997</v>
      </c>
      <c r="G41" s="116">
        <v>29362.000000000004</v>
      </c>
      <c r="H41" s="117">
        <f t="shared" si="1"/>
        <v>274067</v>
      </c>
      <c r="I41" s="79"/>
    </row>
    <row r="42" spans="1:12">
      <c r="A42" s="120"/>
      <c r="B42" s="115" t="s">
        <v>70</v>
      </c>
      <c r="C42" s="174"/>
      <c r="D42" s="116">
        <v>60097</v>
      </c>
      <c r="E42" s="116">
        <v>172201</v>
      </c>
      <c r="F42" s="116">
        <v>232297.99999999997</v>
      </c>
      <c r="G42" s="116">
        <v>28667</v>
      </c>
      <c r="H42" s="117">
        <f t="shared" si="1"/>
        <v>260964.99999999997</v>
      </c>
      <c r="I42" s="79"/>
    </row>
    <row r="43" spans="1:12">
      <c r="A43" s="120"/>
      <c r="B43" s="115" t="s">
        <v>71</v>
      </c>
      <c r="C43" s="174"/>
      <c r="D43" s="116">
        <v>57400.000000000007</v>
      </c>
      <c r="E43" s="116">
        <v>165285</v>
      </c>
      <c r="F43" s="116">
        <v>222685.00000000003</v>
      </c>
      <c r="G43" s="116">
        <v>28352.999999999993</v>
      </c>
      <c r="H43" s="117">
        <f t="shared" si="1"/>
        <v>251038.00000000003</v>
      </c>
      <c r="I43" s="79"/>
    </row>
    <row r="44" spans="1:12">
      <c r="A44" s="120"/>
      <c r="B44" s="115" t="s">
        <v>72</v>
      </c>
      <c r="C44" s="174"/>
      <c r="D44" s="116">
        <v>57952.999999999993</v>
      </c>
      <c r="E44" s="116">
        <v>156453.99999999997</v>
      </c>
      <c r="F44" s="116">
        <v>214406.99999999997</v>
      </c>
      <c r="G44" s="116">
        <v>23005.000000000004</v>
      </c>
      <c r="H44" s="117">
        <f t="shared" si="1"/>
        <v>237411.99999999997</v>
      </c>
      <c r="I44" s="79"/>
    </row>
    <row r="45" spans="1:12">
      <c r="A45" s="120"/>
      <c r="B45" s="115" t="s">
        <v>73</v>
      </c>
      <c r="C45" s="174"/>
      <c r="D45" s="116">
        <v>57648.000000000007</v>
      </c>
      <c r="E45" s="116">
        <v>222149.99999999997</v>
      </c>
      <c r="F45" s="116">
        <v>279798</v>
      </c>
      <c r="G45" s="116">
        <v>24015</v>
      </c>
      <c r="H45" s="117">
        <f t="shared" si="1"/>
        <v>303813</v>
      </c>
      <c r="I45" s="79"/>
    </row>
    <row r="46" spans="1:12" ht="12.75" thickBot="1">
      <c r="A46" s="90"/>
      <c r="B46" s="91" t="s">
        <v>74</v>
      </c>
      <c r="C46" s="176"/>
      <c r="D46" s="211">
        <v>55231</v>
      </c>
      <c r="E46" s="211">
        <v>157686.99999999997</v>
      </c>
      <c r="F46" s="211">
        <v>212918</v>
      </c>
      <c r="G46" s="102">
        <v>23188.000000000004</v>
      </c>
      <c r="H46" s="214">
        <f t="shared" si="1"/>
        <v>236106</v>
      </c>
      <c r="I46" s="79"/>
    </row>
    <row r="47" spans="1:12" s="10" customFormat="1" ht="12" customHeight="1">
      <c r="A47" s="53" t="str">
        <f>Titles!$A$12</f>
        <v>1 Data for 2020 and 2021 based on 2016 Census Definitions.</v>
      </c>
      <c r="B47" s="87"/>
      <c r="C47" s="408"/>
      <c r="D47" s="360"/>
      <c r="E47" s="54"/>
      <c r="F47" s="360"/>
      <c r="G47" s="360"/>
      <c r="H47" s="409"/>
      <c r="I47" s="240"/>
      <c r="J47" s="240"/>
      <c r="K47" s="341"/>
      <c r="L47" s="11"/>
    </row>
    <row r="48" spans="1:12">
      <c r="A48" s="402" t="s">
        <v>118</v>
      </c>
      <c r="B48" s="348"/>
      <c r="C48" s="348"/>
      <c r="D48" s="348"/>
      <c r="E48" s="401"/>
      <c r="F48" s="346"/>
      <c r="G48" s="346"/>
      <c r="H48" s="346"/>
      <c r="I48" s="79"/>
    </row>
    <row r="49" spans="1:8" s="347" customFormat="1" ht="10.9" customHeight="1">
      <c r="A49" s="361" t="str">
        <f>Titles!$A$10</f>
        <v>Source: CMHC Starts and Completion Survey, Market Absorption Survey</v>
      </c>
      <c r="B49" s="348"/>
      <c r="C49" s="348"/>
      <c r="D49" s="348"/>
      <c r="E49" s="362"/>
      <c r="F49" s="348"/>
      <c r="G49" s="348"/>
      <c r="H49" s="348"/>
    </row>
    <row r="50" spans="1:8" s="347" customFormat="1" ht="10.9" customHeight="1">
      <c r="A50" s="349"/>
      <c r="B50" s="348"/>
      <c r="C50" s="348"/>
      <c r="D50" s="348"/>
      <c r="E50" s="350"/>
      <c r="F50" s="348"/>
      <c r="G50" s="348"/>
      <c r="H50" s="348"/>
    </row>
    <row r="51" spans="1:8" s="347" customFormat="1" ht="9.9499999999999993" customHeight="1"/>
    <row r="52" spans="1:8" s="347" customFormat="1"/>
    <row r="62" spans="1:8">
      <c r="F62" s="12" t="s">
        <v>109</v>
      </c>
    </row>
  </sheetData>
  <phoneticPr fontId="11" type="noConversion"/>
  <pageMargins left="0.78740157480314965" right="0.51181102362204722" top="0.51181102362204722" bottom="0.51181102362204722" header="0.51181102362204722" footer="0.51181102362204722"/>
  <pageSetup orientation="portrait" r:id="rId1"/>
  <headerFooter alignWithMargins="0"/>
  <ignoredErrors>
    <ignoredError sqref="D17:H17 A22 A35 D34:H34 H24 H13 H21 H18 H23 H22 H25 H26 H27 H28 H29 H30 H31 H32 H33 H46 H35 H36 H37 H38 H39 H40 H41 H42 H43 H44 H45 H14 H15 H16 H19 H20" unlockedFormula="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47"/>
  <sheetViews>
    <sheetView showGridLines="0" zoomScaleNormal="100" workbookViewId="0"/>
  </sheetViews>
  <sheetFormatPr defaultColWidth="11.5546875" defaultRowHeight="12"/>
  <cols>
    <col min="1" max="1" width="14.77734375" style="12" customWidth="1"/>
    <col min="2" max="2" width="4.77734375" style="121" customWidth="1"/>
    <col min="3" max="3" width="4.33203125" style="12" customWidth="1"/>
    <col min="4" max="4" width="4.77734375" style="12" customWidth="1"/>
    <col min="5" max="5" width="7.77734375" style="12" customWidth="1"/>
    <col min="6" max="10" width="7.33203125" style="12" customWidth="1"/>
    <col min="11" max="16384" width="11.5546875" style="12"/>
  </cols>
  <sheetData>
    <row r="1" spans="1:11" s="10" customFormat="1" ht="15.95" customHeight="1">
      <c r="A1" s="493" t="s">
        <v>145</v>
      </c>
      <c r="B1" s="494"/>
      <c r="C1" s="494"/>
      <c r="D1" s="494"/>
      <c r="E1" s="494"/>
      <c r="F1" s="494"/>
      <c r="G1" s="494"/>
      <c r="H1" s="494"/>
      <c r="I1" s="494"/>
      <c r="J1" s="495"/>
      <c r="K1" s="11"/>
    </row>
    <row r="2" spans="1:11" s="10" customFormat="1" ht="15.95" customHeight="1">
      <c r="A2" s="496" t="s">
        <v>162</v>
      </c>
      <c r="B2" s="497"/>
      <c r="C2" s="497"/>
      <c r="D2" s="497"/>
      <c r="E2" s="497"/>
      <c r="F2" s="497"/>
      <c r="G2" s="497"/>
      <c r="H2" s="497"/>
      <c r="I2" s="497"/>
      <c r="J2" s="498"/>
      <c r="K2" s="11"/>
    </row>
    <row r="3" spans="1:11" s="10" customFormat="1" ht="15.95" customHeight="1">
      <c r="A3" s="499"/>
      <c r="B3" s="537"/>
      <c r="C3" s="537"/>
      <c r="D3" s="537"/>
      <c r="E3" s="537"/>
      <c r="F3" s="537"/>
      <c r="G3" s="537"/>
      <c r="H3" s="537"/>
      <c r="I3" s="537"/>
      <c r="J3" s="538"/>
      <c r="K3" s="11"/>
    </row>
    <row r="4" spans="1:11" s="10" customFormat="1" ht="15.95" customHeight="1" thickBot="1">
      <c r="A4" s="502"/>
      <c r="B4" s="539"/>
      <c r="C4" s="539"/>
      <c r="D4" s="539"/>
      <c r="E4" s="539"/>
      <c r="F4" s="539"/>
      <c r="G4" s="539"/>
      <c r="H4" s="539"/>
      <c r="I4" s="539"/>
      <c r="J4" s="540"/>
      <c r="K4" s="11"/>
    </row>
    <row r="5" spans="1:11" ht="14.1" customHeight="1">
      <c r="A5" s="122"/>
      <c r="B5" s="123"/>
      <c r="C5" s="95"/>
      <c r="D5" s="124"/>
      <c r="E5" s="126"/>
      <c r="F5" s="126"/>
      <c r="G5" s="126"/>
      <c r="H5" s="126"/>
      <c r="I5" s="126"/>
      <c r="J5" s="127"/>
      <c r="K5" s="79"/>
    </row>
    <row r="6" spans="1:11" ht="14.1" customHeight="1">
      <c r="A6" s="85" t="s">
        <v>75</v>
      </c>
      <c r="B6" s="653"/>
      <c r="C6" s="92"/>
      <c r="D6" s="103"/>
      <c r="E6" s="98" t="s">
        <v>6</v>
      </c>
      <c r="F6" s="98" t="s">
        <v>33</v>
      </c>
      <c r="G6" s="98" t="s">
        <v>77</v>
      </c>
      <c r="H6" s="98" t="s">
        <v>12</v>
      </c>
      <c r="I6" s="98" t="s">
        <v>76</v>
      </c>
      <c r="J6" s="104" t="s">
        <v>46</v>
      </c>
      <c r="K6" s="79"/>
    </row>
    <row r="7" spans="1:11" ht="13.5">
      <c r="A7" s="656" t="s">
        <v>138</v>
      </c>
      <c r="B7" s="657"/>
      <c r="C7" s="658"/>
      <c r="D7" s="659"/>
      <c r="E7" s="660">
        <v>8168</v>
      </c>
      <c r="F7" s="660">
        <v>43534</v>
      </c>
      <c r="G7" s="660">
        <v>67864</v>
      </c>
      <c r="H7" s="660">
        <v>33948</v>
      </c>
      <c r="I7" s="660">
        <v>43215</v>
      </c>
      <c r="J7" s="678">
        <v>196729</v>
      </c>
      <c r="K7" s="79"/>
    </row>
    <row r="8" spans="1:11" ht="13.5">
      <c r="A8" s="85" t="s">
        <v>139</v>
      </c>
      <c r="B8" s="128"/>
      <c r="C8" s="84"/>
      <c r="D8" s="97"/>
      <c r="E8" s="654">
        <v>9041</v>
      </c>
      <c r="F8" s="654">
        <v>47232</v>
      </c>
      <c r="G8" s="654">
        <v>78916</v>
      </c>
      <c r="H8" s="654">
        <v>32049</v>
      </c>
      <c r="I8" s="654">
        <v>34885</v>
      </c>
      <c r="J8" s="419">
        <v>202123</v>
      </c>
      <c r="K8" s="79"/>
    </row>
    <row r="9" spans="1:11">
      <c r="A9" s="129"/>
      <c r="B9" s="130"/>
      <c r="C9" s="131"/>
      <c r="D9" s="132"/>
      <c r="E9" s="101"/>
      <c r="F9" s="101"/>
      <c r="G9" s="133"/>
      <c r="H9" s="133"/>
      <c r="I9" s="133"/>
      <c r="J9" s="108"/>
      <c r="K9" s="79"/>
    </row>
    <row r="10" spans="1:11" ht="12" customHeight="1">
      <c r="A10" s="205" t="s">
        <v>78</v>
      </c>
      <c r="B10" s="617" t="s">
        <v>129</v>
      </c>
      <c r="C10" s="335" t="s">
        <v>226</v>
      </c>
      <c r="D10" s="336"/>
      <c r="E10" s="139">
        <v>3040</v>
      </c>
      <c r="F10" s="139">
        <v>7281</v>
      </c>
      <c r="G10" s="139">
        <v>21898</v>
      </c>
      <c r="H10" s="139">
        <v>11186</v>
      </c>
      <c r="I10" s="139">
        <v>7044</v>
      </c>
      <c r="J10" s="215">
        <f t="shared" ref="J10:J15" si="0">SUM(E10:I10)</f>
        <v>50449</v>
      </c>
      <c r="K10" s="79"/>
    </row>
    <row r="11" spans="1:11" ht="12" customHeight="1">
      <c r="A11" s="206"/>
      <c r="B11" s="617" t="s">
        <v>129</v>
      </c>
      <c r="C11" s="323" t="s">
        <v>231</v>
      </c>
      <c r="D11" s="324"/>
      <c r="E11" s="116">
        <v>3333.9999999999995</v>
      </c>
      <c r="F11" s="116">
        <v>8206</v>
      </c>
      <c r="G11" s="116">
        <v>24746</v>
      </c>
      <c r="H11" s="116">
        <v>14185</v>
      </c>
      <c r="I11" s="116">
        <v>6984</v>
      </c>
      <c r="J11" s="215">
        <f t="shared" si="0"/>
        <v>57455</v>
      </c>
      <c r="K11" s="79"/>
    </row>
    <row r="12" spans="1:11" ht="12" customHeight="1">
      <c r="A12" s="207" t="s">
        <v>49</v>
      </c>
      <c r="B12" s="617" t="s">
        <v>129</v>
      </c>
      <c r="C12" s="323" t="s">
        <v>226</v>
      </c>
      <c r="D12" s="324"/>
      <c r="E12" s="139">
        <v>7647</v>
      </c>
      <c r="F12" s="139">
        <v>45644.999999999993</v>
      </c>
      <c r="G12" s="139">
        <v>71383.000000000015</v>
      </c>
      <c r="H12" s="139">
        <v>20236</v>
      </c>
      <c r="I12" s="139">
        <v>30800</v>
      </c>
      <c r="J12" s="215">
        <f t="shared" si="0"/>
        <v>175711</v>
      </c>
      <c r="K12" s="79"/>
    </row>
    <row r="13" spans="1:11" ht="12" customHeight="1">
      <c r="A13" s="206"/>
      <c r="B13" s="617" t="s">
        <v>129</v>
      </c>
      <c r="C13" s="323" t="s">
        <v>231</v>
      </c>
      <c r="D13" s="324"/>
      <c r="E13" s="116">
        <v>7029.9999999999991</v>
      </c>
      <c r="F13" s="116">
        <v>43275.999999999993</v>
      </c>
      <c r="G13" s="116">
        <v>54740</v>
      </c>
      <c r="H13" s="116">
        <v>26516</v>
      </c>
      <c r="I13" s="116">
        <v>30913</v>
      </c>
      <c r="J13" s="215">
        <f t="shared" si="0"/>
        <v>162475</v>
      </c>
      <c r="K13" s="79"/>
    </row>
    <row r="14" spans="1:11" ht="12" customHeight="1">
      <c r="A14" s="208" t="s">
        <v>46</v>
      </c>
      <c r="B14" s="617" t="s">
        <v>129</v>
      </c>
      <c r="C14" s="323" t="s">
        <v>226</v>
      </c>
      <c r="D14" s="324"/>
      <c r="E14" s="139">
        <f t="shared" ref="E14:I15" si="1">SUM(E10,E12)</f>
        <v>10687</v>
      </c>
      <c r="F14" s="139">
        <f t="shared" si="1"/>
        <v>52925.999999999993</v>
      </c>
      <c r="G14" s="139">
        <f t="shared" si="1"/>
        <v>93281.000000000015</v>
      </c>
      <c r="H14" s="139">
        <f t="shared" si="1"/>
        <v>31422</v>
      </c>
      <c r="I14" s="139">
        <f t="shared" si="1"/>
        <v>37844</v>
      </c>
      <c r="J14" s="215">
        <f t="shared" si="0"/>
        <v>226160</v>
      </c>
      <c r="K14" s="79"/>
    </row>
    <row r="15" spans="1:11" ht="12" customHeight="1">
      <c r="A15" s="135"/>
      <c r="B15" s="625" t="s">
        <v>129</v>
      </c>
      <c r="C15" s="332" t="s">
        <v>231</v>
      </c>
      <c r="D15" s="333"/>
      <c r="E15" s="145">
        <f t="shared" si="1"/>
        <v>10363.999999999998</v>
      </c>
      <c r="F15" s="145">
        <f t="shared" si="1"/>
        <v>51481.999999999993</v>
      </c>
      <c r="G15" s="145">
        <f t="shared" si="1"/>
        <v>79486</v>
      </c>
      <c r="H15" s="145">
        <f t="shared" si="1"/>
        <v>40701</v>
      </c>
      <c r="I15" s="145">
        <f t="shared" si="1"/>
        <v>37897</v>
      </c>
      <c r="J15" s="215">
        <f t="shared" si="0"/>
        <v>219930</v>
      </c>
      <c r="K15" s="79"/>
    </row>
    <row r="16" spans="1:11" ht="9.9499999999999993" customHeight="1">
      <c r="A16" s="150"/>
      <c r="B16" s="88"/>
      <c r="C16" s="87"/>
      <c r="D16" s="172"/>
      <c r="E16" s="100"/>
      <c r="F16" s="100"/>
      <c r="G16" s="100"/>
      <c r="H16" s="100"/>
      <c r="I16" s="100"/>
      <c r="J16" s="216"/>
      <c r="K16" s="79"/>
    </row>
    <row r="17" spans="1:14" ht="12" customHeight="1">
      <c r="A17" s="205" t="s">
        <v>78</v>
      </c>
      <c r="B17" s="298">
        <v>2021</v>
      </c>
      <c r="C17" s="335" t="s">
        <v>226</v>
      </c>
      <c r="D17" s="336"/>
      <c r="E17" s="139">
        <v>3561</v>
      </c>
      <c r="F17" s="139">
        <v>7415</v>
      </c>
      <c r="G17" s="139">
        <v>24857</v>
      </c>
      <c r="H17" s="139">
        <v>17414</v>
      </c>
      <c r="I17" s="139">
        <v>7590</v>
      </c>
      <c r="J17" s="215">
        <f t="shared" ref="J17:J22" si="2">SUM(E17:I17)</f>
        <v>60837</v>
      </c>
      <c r="K17" s="79"/>
    </row>
    <row r="18" spans="1:14" ht="12" customHeight="1">
      <c r="A18" s="206"/>
      <c r="B18" s="298">
        <v>2021</v>
      </c>
      <c r="C18" s="323" t="s">
        <v>231</v>
      </c>
      <c r="D18" s="324"/>
      <c r="E18" s="116">
        <v>3854.9999999999995</v>
      </c>
      <c r="F18" s="116">
        <v>6529</v>
      </c>
      <c r="G18" s="116">
        <v>23730</v>
      </c>
      <c r="H18" s="116">
        <v>16573</v>
      </c>
      <c r="I18" s="139">
        <v>7502</v>
      </c>
      <c r="J18" s="215">
        <f t="shared" si="2"/>
        <v>58189</v>
      </c>
      <c r="K18" s="79"/>
    </row>
    <row r="19" spans="1:14" ht="12" customHeight="1">
      <c r="A19" s="207" t="s">
        <v>49</v>
      </c>
      <c r="B19" s="298">
        <v>2021</v>
      </c>
      <c r="C19" s="323" t="s">
        <v>226</v>
      </c>
      <c r="D19" s="324"/>
      <c r="E19" s="139">
        <v>4270</v>
      </c>
      <c r="F19" s="139">
        <v>45782</v>
      </c>
      <c r="G19" s="139">
        <v>69193</v>
      </c>
      <c r="H19" s="139">
        <v>22067</v>
      </c>
      <c r="I19" s="139">
        <v>33322</v>
      </c>
      <c r="J19" s="215">
        <f t="shared" si="2"/>
        <v>174634</v>
      </c>
      <c r="K19" s="79"/>
      <c r="N19" s="79"/>
    </row>
    <row r="20" spans="1:14" ht="12" customHeight="1">
      <c r="A20" s="206"/>
      <c r="B20" s="298">
        <v>2021</v>
      </c>
      <c r="C20" s="323" t="s">
        <v>231</v>
      </c>
      <c r="D20" s="324"/>
      <c r="E20" s="116">
        <v>9503</v>
      </c>
      <c r="F20" s="116">
        <v>43743</v>
      </c>
      <c r="G20" s="116">
        <v>67434</v>
      </c>
      <c r="H20" s="116">
        <v>27176</v>
      </c>
      <c r="I20" s="116">
        <v>31658</v>
      </c>
      <c r="J20" s="215">
        <f t="shared" si="2"/>
        <v>179514</v>
      </c>
      <c r="K20" s="79"/>
    </row>
    <row r="21" spans="1:14" ht="12" customHeight="1">
      <c r="A21" s="208" t="s">
        <v>46</v>
      </c>
      <c r="B21" s="298">
        <v>2021</v>
      </c>
      <c r="C21" s="323" t="s">
        <v>226</v>
      </c>
      <c r="D21" s="324"/>
      <c r="E21" s="139">
        <f t="shared" ref="E21:I22" si="3">SUM(E17,E19)</f>
        <v>7831</v>
      </c>
      <c r="F21" s="139">
        <f t="shared" si="3"/>
        <v>53197</v>
      </c>
      <c r="G21" s="139">
        <f t="shared" si="3"/>
        <v>94050</v>
      </c>
      <c r="H21" s="139">
        <f t="shared" si="3"/>
        <v>39481</v>
      </c>
      <c r="I21" s="139">
        <f t="shared" si="3"/>
        <v>40912</v>
      </c>
      <c r="J21" s="215">
        <f t="shared" si="2"/>
        <v>235471</v>
      </c>
      <c r="K21" s="79"/>
    </row>
    <row r="22" spans="1:14" ht="12" customHeight="1">
      <c r="A22" s="135"/>
      <c r="B22" s="298">
        <v>2021</v>
      </c>
      <c r="C22" s="332" t="s">
        <v>231</v>
      </c>
      <c r="D22" s="324"/>
      <c r="E22" s="145">
        <f t="shared" si="3"/>
        <v>13358</v>
      </c>
      <c r="F22" s="145">
        <f t="shared" si="3"/>
        <v>50272</v>
      </c>
      <c r="G22" s="145">
        <f t="shared" si="3"/>
        <v>91164</v>
      </c>
      <c r="H22" s="145">
        <f t="shared" si="3"/>
        <v>43749</v>
      </c>
      <c r="I22" s="145">
        <f t="shared" si="3"/>
        <v>39160</v>
      </c>
      <c r="J22" s="215">
        <f t="shared" si="2"/>
        <v>237703</v>
      </c>
      <c r="K22" s="79"/>
    </row>
    <row r="23" spans="1:14" ht="9.9499999999999993" customHeight="1">
      <c r="A23" s="150"/>
      <c r="B23" s="86"/>
      <c r="C23" s="180"/>
      <c r="D23" s="181"/>
      <c r="E23" s="101"/>
      <c r="F23" s="101"/>
      <c r="G23" s="101"/>
      <c r="H23" s="101"/>
      <c r="I23" s="101"/>
      <c r="J23" s="216"/>
      <c r="K23" s="79"/>
    </row>
    <row r="24" spans="1:14" ht="12" customHeight="1">
      <c r="A24" s="205" t="s">
        <v>78</v>
      </c>
      <c r="B24" s="430">
        <v>2020</v>
      </c>
      <c r="C24" s="138" t="s">
        <v>227</v>
      </c>
      <c r="D24" s="623"/>
      <c r="E24" s="139">
        <v>3126</v>
      </c>
      <c r="F24" s="139">
        <v>8774</v>
      </c>
      <c r="G24" s="139">
        <v>26472</v>
      </c>
      <c r="H24" s="139">
        <v>13779</v>
      </c>
      <c r="I24" s="139">
        <v>7181</v>
      </c>
      <c r="J24" s="317">
        <f t="shared" ref="J24:J29" si="4">SUM(E24:I24)</f>
        <v>59332</v>
      </c>
      <c r="K24" s="79"/>
    </row>
    <row r="25" spans="1:14" ht="12" customHeight="1">
      <c r="A25" s="206"/>
      <c r="B25" s="430">
        <v>2020</v>
      </c>
      <c r="C25" s="164" t="s">
        <v>228</v>
      </c>
      <c r="D25" s="182"/>
      <c r="E25" s="139">
        <v>3674</v>
      </c>
      <c r="F25" s="139">
        <v>7932</v>
      </c>
      <c r="G25" s="139">
        <v>24154</v>
      </c>
      <c r="H25" s="139">
        <v>13794.999999999998</v>
      </c>
      <c r="I25" s="139">
        <v>7563</v>
      </c>
      <c r="J25" s="213">
        <f t="shared" si="4"/>
        <v>57118</v>
      </c>
      <c r="K25" s="79"/>
    </row>
    <row r="26" spans="1:14" ht="12" customHeight="1">
      <c r="A26" s="209"/>
      <c r="B26" s="430">
        <v>2020</v>
      </c>
      <c r="C26" s="164" t="s">
        <v>232</v>
      </c>
      <c r="D26" s="182"/>
      <c r="E26" s="139">
        <v>3228</v>
      </c>
      <c r="F26" s="139">
        <v>7624</v>
      </c>
      <c r="G26" s="139">
        <v>19981</v>
      </c>
      <c r="H26" s="139">
        <v>14631</v>
      </c>
      <c r="I26" s="139">
        <v>6903</v>
      </c>
      <c r="J26" s="213">
        <f t="shared" si="4"/>
        <v>52367</v>
      </c>
      <c r="K26" s="79"/>
    </row>
    <row r="27" spans="1:14" ht="12" customHeight="1">
      <c r="A27" s="207" t="s">
        <v>49</v>
      </c>
      <c r="B27" s="430">
        <v>2020</v>
      </c>
      <c r="C27" s="138" t="s">
        <v>227</v>
      </c>
      <c r="D27" s="182"/>
      <c r="E27" s="116">
        <v>2259</v>
      </c>
      <c r="F27" s="116">
        <v>37623</v>
      </c>
      <c r="G27" s="116">
        <v>56555.000000000007</v>
      </c>
      <c r="H27" s="116">
        <v>29545</v>
      </c>
      <c r="I27" s="116">
        <v>22498</v>
      </c>
      <c r="J27" s="213">
        <f t="shared" si="4"/>
        <v>148480</v>
      </c>
      <c r="K27" s="79"/>
    </row>
    <row r="28" spans="1:14" ht="12" customHeight="1">
      <c r="A28" s="206"/>
      <c r="B28" s="430">
        <v>2020</v>
      </c>
      <c r="C28" s="164" t="s">
        <v>228</v>
      </c>
      <c r="D28" s="182"/>
      <c r="E28" s="116">
        <v>10405.000000000002</v>
      </c>
      <c r="F28" s="116">
        <v>46974.999999999993</v>
      </c>
      <c r="G28" s="116">
        <v>57206</v>
      </c>
      <c r="H28" s="116">
        <v>26167</v>
      </c>
      <c r="I28" s="116">
        <v>38701</v>
      </c>
      <c r="J28" s="213">
        <f t="shared" si="4"/>
        <v>179454</v>
      </c>
      <c r="K28" s="79"/>
    </row>
    <row r="29" spans="1:14" ht="12" customHeight="1">
      <c r="A29" s="209"/>
      <c r="B29" s="430">
        <v>2020</v>
      </c>
      <c r="C29" s="164" t="s">
        <v>232</v>
      </c>
      <c r="D29" s="182"/>
      <c r="E29" s="116">
        <v>9655</v>
      </c>
      <c r="F29" s="116">
        <v>44265</v>
      </c>
      <c r="G29" s="116">
        <v>48923</v>
      </c>
      <c r="H29" s="116">
        <v>23883.000000000004</v>
      </c>
      <c r="I29" s="116">
        <v>32564.999999999996</v>
      </c>
      <c r="J29" s="213">
        <f t="shared" si="4"/>
        <v>159291</v>
      </c>
      <c r="K29" s="79"/>
    </row>
    <row r="30" spans="1:14" ht="12" customHeight="1">
      <c r="A30" s="208" t="s">
        <v>46</v>
      </c>
      <c r="B30" s="430">
        <v>2020</v>
      </c>
      <c r="C30" s="138" t="s">
        <v>227</v>
      </c>
      <c r="D30" s="182"/>
      <c r="E30" s="144">
        <f>SUM(E24,E27)</f>
        <v>5385</v>
      </c>
      <c r="F30" s="144">
        <f t="shared" ref="E30:J32" si="5">SUM(F24,F27)</f>
        <v>46397</v>
      </c>
      <c r="G30" s="144">
        <f t="shared" si="5"/>
        <v>83027</v>
      </c>
      <c r="H30" s="144">
        <f t="shared" si="5"/>
        <v>43324</v>
      </c>
      <c r="I30" s="144">
        <f t="shared" si="5"/>
        <v>29679</v>
      </c>
      <c r="J30" s="213">
        <f t="shared" si="5"/>
        <v>207812</v>
      </c>
      <c r="K30" s="79"/>
    </row>
    <row r="31" spans="1:14" ht="12" customHeight="1">
      <c r="A31" s="208"/>
      <c r="B31" s="430">
        <v>2020</v>
      </c>
      <c r="C31" s="164" t="s">
        <v>228</v>
      </c>
      <c r="D31" s="182"/>
      <c r="E31" s="144">
        <f t="shared" si="5"/>
        <v>14079.000000000002</v>
      </c>
      <c r="F31" s="144">
        <f t="shared" si="5"/>
        <v>54906.999999999993</v>
      </c>
      <c r="G31" s="144">
        <f t="shared" si="5"/>
        <v>81360</v>
      </c>
      <c r="H31" s="144">
        <f t="shared" si="5"/>
        <v>39962</v>
      </c>
      <c r="I31" s="144">
        <f t="shared" si="5"/>
        <v>46264</v>
      </c>
      <c r="J31" s="213">
        <f t="shared" si="5"/>
        <v>236572</v>
      </c>
      <c r="K31" s="79"/>
    </row>
    <row r="32" spans="1:14" ht="12" customHeight="1">
      <c r="A32" s="147"/>
      <c r="B32" s="430">
        <v>2020</v>
      </c>
      <c r="C32" s="164" t="s">
        <v>232</v>
      </c>
      <c r="D32" s="182"/>
      <c r="E32" s="149">
        <f t="shared" si="5"/>
        <v>12883</v>
      </c>
      <c r="F32" s="149">
        <f t="shared" si="5"/>
        <v>51889</v>
      </c>
      <c r="G32" s="149">
        <f t="shared" si="5"/>
        <v>68904</v>
      </c>
      <c r="H32" s="149">
        <f t="shared" si="5"/>
        <v>38514</v>
      </c>
      <c r="I32" s="149">
        <f t="shared" si="5"/>
        <v>39468</v>
      </c>
      <c r="J32" s="217">
        <f t="shared" si="5"/>
        <v>211658</v>
      </c>
      <c r="K32" s="79"/>
    </row>
    <row r="33" spans="1:12" ht="9.9499999999999993" customHeight="1">
      <c r="A33" s="134"/>
      <c r="B33" s="151"/>
      <c r="C33" s="131"/>
      <c r="D33" s="183"/>
      <c r="E33" s="133"/>
      <c r="F33" s="133"/>
      <c r="G33" s="133"/>
      <c r="H33" s="133"/>
      <c r="I33" s="133"/>
      <c r="J33" s="108"/>
      <c r="K33" s="79"/>
    </row>
    <row r="34" spans="1:12" ht="12" customHeight="1">
      <c r="A34" s="205" t="s">
        <v>78</v>
      </c>
      <c r="B34" s="430">
        <v>2021</v>
      </c>
      <c r="C34" s="138" t="s">
        <v>227</v>
      </c>
      <c r="D34" s="623"/>
      <c r="E34" s="139">
        <v>5380</v>
      </c>
      <c r="F34" s="139">
        <v>6989</v>
      </c>
      <c r="G34" s="139">
        <v>21613</v>
      </c>
      <c r="H34" s="139">
        <v>16556</v>
      </c>
      <c r="I34" s="139">
        <v>7415</v>
      </c>
      <c r="J34" s="136">
        <f t="shared" ref="J34:J39" si="6">SUM(E34:I34)</f>
        <v>57953</v>
      </c>
      <c r="K34" s="79"/>
    </row>
    <row r="35" spans="1:12" ht="12" customHeight="1">
      <c r="A35" s="206"/>
      <c r="B35" s="430">
        <v>2021</v>
      </c>
      <c r="C35" s="164" t="s">
        <v>228</v>
      </c>
      <c r="D35" s="182"/>
      <c r="E35" s="116">
        <v>2878</v>
      </c>
      <c r="F35" s="139">
        <v>7466</v>
      </c>
      <c r="G35" s="139">
        <v>24291</v>
      </c>
      <c r="H35" s="139">
        <v>15761.000000000002</v>
      </c>
      <c r="I35" s="139">
        <v>7252</v>
      </c>
      <c r="J35" s="117">
        <f>SUM(E35:I35)</f>
        <v>57648</v>
      </c>
      <c r="K35" s="79"/>
    </row>
    <row r="36" spans="1:12" ht="12" customHeight="1">
      <c r="A36" s="209"/>
      <c r="B36" s="430">
        <v>2021</v>
      </c>
      <c r="C36" s="164" t="s">
        <v>232</v>
      </c>
      <c r="D36" s="182"/>
      <c r="E36" s="116">
        <v>3199</v>
      </c>
      <c r="F36" s="139">
        <v>4523</v>
      </c>
      <c r="G36" s="139">
        <v>22076</v>
      </c>
      <c r="H36" s="139">
        <v>16696</v>
      </c>
      <c r="I36" s="139">
        <v>8737</v>
      </c>
      <c r="J36" s="117">
        <f>SUM(E36:I36)</f>
        <v>55231</v>
      </c>
      <c r="K36" s="79"/>
    </row>
    <row r="37" spans="1:12" ht="12" customHeight="1">
      <c r="A37" s="207" t="s">
        <v>49</v>
      </c>
      <c r="B37" s="430">
        <v>2021</v>
      </c>
      <c r="C37" s="138" t="s">
        <v>227</v>
      </c>
      <c r="D37" s="182"/>
      <c r="E37" s="116">
        <v>8500</v>
      </c>
      <c r="F37" s="116">
        <v>42618</v>
      </c>
      <c r="G37" s="116">
        <v>55138.000000000007</v>
      </c>
      <c r="H37" s="116">
        <v>25247</v>
      </c>
      <c r="I37" s="116">
        <v>24951</v>
      </c>
      <c r="J37" s="117">
        <f t="shared" si="6"/>
        <v>156454</v>
      </c>
      <c r="K37" s="79"/>
    </row>
    <row r="38" spans="1:12" ht="12" customHeight="1">
      <c r="A38" s="206"/>
      <c r="B38" s="430">
        <v>2021</v>
      </c>
      <c r="C38" s="164" t="s">
        <v>228</v>
      </c>
      <c r="D38" s="182"/>
      <c r="E38" s="116">
        <v>9940</v>
      </c>
      <c r="F38" s="116">
        <v>48789</v>
      </c>
      <c r="G38" s="116">
        <v>101089</v>
      </c>
      <c r="H38" s="116">
        <v>33769</v>
      </c>
      <c r="I38" s="116">
        <v>28563</v>
      </c>
      <c r="J38" s="117">
        <f t="shared" si="6"/>
        <v>222150</v>
      </c>
      <c r="K38" s="79"/>
    </row>
    <row r="39" spans="1:12" ht="12" customHeight="1">
      <c r="A39" s="209"/>
      <c r="B39" s="430">
        <v>2021</v>
      </c>
      <c r="C39" s="164" t="s">
        <v>232</v>
      </c>
      <c r="D39" s="182"/>
      <c r="E39" s="116">
        <v>10998</v>
      </c>
      <c r="F39" s="116">
        <v>37470</v>
      </c>
      <c r="G39" s="116">
        <v>44211</v>
      </c>
      <c r="H39" s="116">
        <v>22753.999999999996</v>
      </c>
      <c r="I39" s="116">
        <v>42254</v>
      </c>
      <c r="J39" s="117">
        <f t="shared" si="6"/>
        <v>157687</v>
      </c>
      <c r="K39" s="79"/>
    </row>
    <row r="40" spans="1:12" ht="12" customHeight="1">
      <c r="A40" s="208" t="s">
        <v>46</v>
      </c>
      <c r="B40" s="430">
        <v>2021</v>
      </c>
      <c r="C40" s="138" t="s">
        <v>227</v>
      </c>
      <c r="D40" s="182"/>
      <c r="E40" s="144">
        <f t="shared" ref="E40:J42" si="7">SUM(E34,E37)</f>
        <v>13880</v>
      </c>
      <c r="F40" s="144">
        <f t="shared" si="7"/>
        <v>49607</v>
      </c>
      <c r="G40" s="144">
        <f t="shared" si="7"/>
        <v>76751</v>
      </c>
      <c r="H40" s="144">
        <f t="shared" si="7"/>
        <v>41803</v>
      </c>
      <c r="I40" s="144">
        <f t="shared" si="7"/>
        <v>32366</v>
      </c>
      <c r="J40" s="213">
        <f t="shared" si="7"/>
        <v>214407</v>
      </c>
      <c r="K40" s="79"/>
    </row>
    <row r="41" spans="1:12" ht="12" customHeight="1">
      <c r="A41" s="208"/>
      <c r="B41" s="430">
        <v>2021</v>
      </c>
      <c r="C41" s="164" t="s">
        <v>228</v>
      </c>
      <c r="D41" s="182"/>
      <c r="E41" s="144">
        <f t="shared" si="7"/>
        <v>12818</v>
      </c>
      <c r="F41" s="144">
        <f t="shared" si="7"/>
        <v>56255</v>
      </c>
      <c r="G41" s="144">
        <f t="shared" si="7"/>
        <v>125380</v>
      </c>
      <c r="H41" s="144">
        <f t="shared" si="7"/>
        <v>49530</v>
      </c>
      <c r="I41" s="144">
        <f t="shared" si="7"/>
        <v>35815</v>
      </c>
      <c r="J41" s="213">
        <f t="shared" si="7"/>
        <v>279798</v>
      </c>
      <c r="K41" s="79"/>
    </row>
    <row r="42" spans="1:12" ht="12" customHeight="1" thickBot="1">
      <c r="A42" s="90"/>
      <c r="B42" s="624">
        <v>2021</v>
      </c>
      <c r="C42" s="626" t="s">
        <v>232</v>
      </c>
      <c r="D42" s="450"/>
      <c r="E42" s="212">
        <f t="shared" si="7"/>
        <v>14197</v>
      </c>
      <c r="F42" s="212">
        <f>SUM(F36,F39)</f>
        <v>41993</v>
      </c>
      <c r="G42" s="212">
        <f t="shared" si="7"/>
        <v>66287</v>
      </c>
      <c r="H42" s="212">
        <f t="shared" si="7"/>
        <v>39450</v>
      </c>
      <c r="I42" s="212">
        <f t="shared" si="7"/>
        <v>50991</v>
      </c>
      <c r="J42" s="214">
        <f t="shared" si="7"/>
        <v>212918</v>
      </c>
      <c r="K42" s="79"/>
    </row>
    <row r="43" spans="1:12" s="10" customFormat="1" ht="12" customHeight="1">
      <c r="A43" s="53" t="str">
        <f>Titles!$A$12</f>
        <v>1 Data for 2020 and 2021 based on 2016 Census Definitions.</v>
      </c>
      <c r="B43" s="87"/>
      <c r="C43" s="408"/>
      <c r="D43" s="360"/>
      <c r="E43" s="54"/>
      <c r="F43" s="360"/>
      <c r="G43" s="360"/>
      <c r="H43" s="409"/>
      <c r="I43" s="79"/>
      <c r="J43" s="12"/>
      <c r="K43" s="341"/>
      <c r="L43" s="11"/>
    </row>
    <row r="44" spans="1:12">
      <c r="A44" s="402" t="s">
        <v>118</v>
      </c>
      <c r="B44" s="348"/>
      <c r="C44" s="348"/>
      <c r="D44" s="348"/>
      <c r="E44" s="401"/>
      <c r="F44" s="346"/>
      <c r="G44" s="346"/>
      <c r="H44" s="346"/>
      <c r="I44" s="347"/>
      <c r="J44" s="347"/>
    </row>
    <row r="45" spans="1:12" s="347" customFormat="1" ht="10.9" customHeight="1">
      <c r="A45" s="361" t="str">
        <f>Titles!$A$10</f>
        <v>Source: CMHC Starts and Completion Survey, Market Absorption Survey</v>
      </c>
      <c r="B45" s="348"/>
      <c r="C45" s="348"/>
      <c r="D45" s="348"/>
      <c r="E45" s="362"/>
      <c r="F45" s="348"/>
      <c r="G45" s="348"/>
      <c r="H45" s="348"/>
    </row>
    <row r="46" spans="1:12" s="347" customFormat="1" ht="10.9" customHeight="1"/>
    <row r="47" spans="1:12" s="400" customFormat="1" ht="12" customHeight="1">
      <c r="A47" s="361"/>
      <c r="B47" s="363"/>
      <c r="C47" s="13"/>
      <c r="D47" s="13"/>
      <c r="E47" s="13"/>
      <c r="F47" s="362"/>
      <c r="G47" s="364"/>
      <c r="H47" s="13"/>
      <c r="I47" s="13"/>
      <c r="J47" s="13"/>
    </row>
  </sheetData>
  <phoneticPr fontId="11" type="noConversion"/>
  <pageMargins left="0.78740157480314965" right="0.51181102362204722" top="0.51181102362204722" bottom="0.51181102362204722" header="0.51181102362204722" footer="0.51181102362204722"/>
  <pageSetup orientation="portrait" r:id="rId1"/>
  <headerFooter alignWithMargins="0"/>
  <ignoredErrors>
    <ignoredError sqref="J9:J23 E9 F9 G9 H9 I9 J37:J42 J25:J34 E31:E33 E21:E23 E14:E16 E40:E42 E30 F30:F33 F21:F23 F14:F16 F40:F41 F42 G30:G33 G21:G23 G14:G16 G40:G42 H30:H33 H21:H23 H14:H16 H40:H42 I40:I42 I30:I33 I21:I23 I14:I16" unlockedFormula="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61"/>
  <sheetViews>
    <sheetView showGridLines="0" zoomScaleNormal="100" workbookViewId="0"/>
  </sheetViews>
  <sheetFormatPr defaultColWidth="11.5546875" defaultRowHeight="15"/>
  <cols>
    <col min="1" max="1" width="6.21875" customWidth="1"/>
    <col min="2" max="3" width="8.33203125" customWidth="1"/>
    <col min="4" max="9" width="8.44140625" customWidth="1"/>
  </cols>
  <sheetData>
    <row r="1" spans="1:10" ht="15.95" customHeight="1">
      <c r="A1" s="493" t="s">
        <v>146</v>
      </c>
      <c r="B1" s="494"/>
      <c r="C1" s="494"/>
      <c r="D1" s="494"/>
      <c r="E1" s="494"/>
      <c r="F1" s="494"/>
      <c r="G1" s="494"/>
      <c r="H1" s="494"/>
      <c r="I1" s="495"/>
    </row>
    <row r="2" spans="1:10" ht="15.95" customHeight="1">
      <c r="A2" s="496" t="s">
        <v>163</v>
      </c>
      <c r="B2" s="497"/>
      <c r="C2" s="497"/>
      <c r="D2" s="497"/>
      <c r="E2" s="497"/>
      <c r="F2" s="497"/>
      <c r="G2" s="497"/>
      <c r="H2" s="497"/>
      <c r="I2" s="498"/>
    </row>
    <row r="3" spans="1:10" ht="15.95" customHeight="1">
      <c r="A3" s="499"/>
      <c r="B3" s="500"/>
      <c r="C3" s="500"/>
      <c r="D3" s="500"/>
      <c r="E3" s="500"/>
      <c r="F3" s="500"/>
      <c r="G3" s="500"/>
      <c r="H3" s="500"/>
      <c r="I3" s="501"/>
    </row>
    <row r="4" spans="1:10" ht="15.95" customHeight="1" thickBot="1">
      <c r="A4" s="502"/>
      <c r="B4" s="503"/>
      <c r="C4" s="503"/>
      <c r="D4" s="503"/>
      <c r="E4" s="503"/>
      <c r="F4" s="503"/>
      <c r="G4" s="503"/>
      <c r="H4" s="503"/>
      <c r="I4" s="504"/>
    </row>
    <row r="5" spans="1:10" ht="12" customHeight="1">
      <c r="A5" s="83"/>
      <c r="B5" s="92"/>
      <c r="C5" s="103"/>
      <c r="D5" s="126"/>
      <c r="E5" s="126"/>
      <c r="F5" s="126"/>
      <c r="G5" s="126"/>
      <c r="H5" s="126"/>
      <c r="I5" s="127"/>
    </row>
    <row r="6" spans="1:10" ht="12" customHeight="1">
      <c r="A6" s="154" t="s">
        <v>75</v>
      </c>
      <c r="B6" s="148"/>
      <c r="C6" s="155"/>
      <c r="D6" s="156" t="s">
        <v>6</v>
      </c>
      <c r="E6" s="156" t="s">
        <v>33</v>
      </c>
      <c r="F6" s="156" t="s">
        <v>77</v>
      </c>
      <c r="G6" s="156" t="s">
        <v>12</v>
      </c>
      <c r="H6" s="156" t="s">
        <v>76</v>
      </c>
      <c r="I6" s="157" t="s">
        <v>46</v>
      </c>
    </row>
    <row r="7" spans="1:10" ht="12" customHeight="1">
      <c r="A7" s="137" t="s">
        <v>138</v>
      </c>
      <c r="B7" s="142"/>
      <c r="C7" s="138"/>
      <c r="D7" s="139">
        <v>8168</v>
      </c>
      <c r="E7" s="139">
        <v>43534</v>
      </c>
      <c r="F7" s="139">
        <v>67864</v>
      </c>
      <c r="G7" s="139">
        <v>33948</v>
      </c>
      <c r="H7" s="139">
        <v>43215</v>
      </c>
      <c r="I7" s="655">
        <v>196729</v>
      </c>
      <c r="J7" s="158"/>
    </row>
    <row r="8" spans="1:10" ht="12" customHeight="1">
      <c r="A8" s="85" t="s">
        <v>140</v>
      </c>
      <c r="B8" s="128"/>
      <c r="C8" s="84"/>
      <c r="D8" s="420">
        <v>9041</v>
      </c>
      <c r="E8" s="420">
        <v>47232</v>
      </c>
      <c r="F8" s="420">
        <v>78916</v>
      </c>
      <c r="G8" s="420">
        <v>32049</v>
      </c>
      <c r="H8" s="420">
        <v>34885</v>
      </c>
      <c r="I8" s="419">
        <v>202123</v>
      </c>
      <c r="J8" s="158"/>
    </row>
    <row r="9" spans="1:10" ht="12" customHeight="1">
      <c r="A9" s="110">
        <v>2019</v>
      </c>
      <c r="B9" s="160" t="s">
        <v>59</v>
      </c>
      <c r="C9" s="169"/>
      <c r="D9" s="112">
        <v>5638</v>
      </c>
      <c r="E9" s="112">
        <v>41293</v>
      </c>
      <c r="F9" s="112">
        <v>58071</v>
      </c>
      <c r="G9" s="112">
        <v>26953</v>
      </c>
      <c r="H9" s="112">
        <v>39951</v>
      </c>
      <c r="I9" s="219">
        <v>171905.99999999997</v>
      </c>
      <c r="J9" s="158"/>
    </row>
    <row r="10" spans="1:10" ht="12" customHeight="1">
      <c r="A10" s="296"/>
      <c r="B10" s="143" t="s">
        <v>60</v>
      </c>
      <c r="C10" s="170"/>
      <c r="D10" s="116">
        <v>9317</v>
      </c>
      <c r="E10" s="116">
        <v>48236.000000000007</v>
      </c>
      <c r="F10" s="116">
        <v>67433</v>
      </c>
      <c r="G10" s="116">
        <v>34298</v>
      </c>
      <c r="H10" s="116">
        <v>48737</v>
      </c>
      <c r="I10" s="220">
        <v>208021</v>
      </c>
      <c r="J10" s="158"/>
    </row>
    <row r="11" spans="1:10" ht="12" customHeight="1">
      <c r="A11" s="296"/>
      <c r="B11" s="143" t="s">
        <v>61</v>
      </c>
      <c r="C11" s="170"/>
      <c r="D11" s="116">
        <v>9120.9999999999982</v>
      </c>
      <c r="E11" s="116">
        <v>42885.000000000007</v>
      </c>
      <c r="F11" s="116">
        <v>78452</v>
      </c>
      <c r="G11" s="116">
        <v>37882.000000000007</v>
      </c>
      <c r="H11" s="116">
        <v>42120</v>
      </c>
      <c r="I11" s="220">
        <v>210460</v>
      </c>
      <c r="J11" s="158"/>
    </row>
    <row r="12" spans="1:10" ht="12" customHeight="1">
      <c r="A12" s="297"/>
      <c r="B12" s="161" t="s">
        <v>62</v>
      </c>
      <c r="C12" s="188"/>
      <c r="D12" s="116">
        <v>7873</v>
      </c>
      <c r="E12" s="116">
        <v>41344</v>
      </c>
      <c r="F12" s="116">
        <v>65714</v>
      </c>
      <c r="G12" s="116">
        <v>36251.999999999993</v>
      </c>
      <c r="H12" s="116">
        <v>40172</v>
      </c>
      <c r="I12" s="220">
        <v>191355</v>
      </c>
      <c r="J12" s="158"/>
    </row>
    <row r="13" spans="1:10" ht="12" customHeight="1">
      <c r="A13" s="110">
        <v>2020</v>
      </c>
      <c r="B13" s="160" t="s">
        <v>59</v>
      </c>
      <c r="C13" s="169"/>
      <c r="D13" s="112">
        <v>8653</v>
      </c>
      <c r="E13" s="112">
        <v>46067.000000000007</v>
      </c>
      <c r="F13" s="112">
        <v>66430</v>
      </c>
      <c r="G13" s="112">
        <v>31166.999999999996</v>
      </c>
      <c r="H13" s="112">
        <v>33446</v>
      </c>
      <c r="I13" s="219">
        <v>185763</v>
      </c>
      <c r="J13" s="158"/>
    </row>
    <row r="14" spans="1:10" ht="12" customHeight="1">
      <c r="A14" s="296"/>
      <c r="B14" s="143" t="s">
        <v>60</v>
      </c>
      <c r="C14" s="170"/>
      <c r="D14" s="116">
        <v>6641</v>
      </c>
      <c r="E14" s="116">
        <v>39413</v>
      </c>
      <c r="F14" s="116">
        <v>75823.000000000015</v>
      </c>
      <c r="G14" s="116">
        <v>25864</v>
      </c>
      <c r="H14" s="116">
        <v>30703.000000000004</v>
      </c>
      <c r="I14" s="220">
        <v>178444.00000000003</v>
      </c>
      <c r="J14" s="158"/>
    </row>
    <row r="15" spans="1:10" ht="12" customHeight="1">
      <c r="A15" s="296"/>
      <c r="B15" s="143" t="s">
        <v>61</v>
      </c>
      <c r="C15" s="170"/>
      <c r="D15" s="116">
        <v>10687</v>
      </c>
      <c r="E15" s="116">
        <v>52925.999999999993</v>
      </c>
      <c r="F15" s="116">
        <v>93281</v>
      </c>
      <c r="G15" s="116">
        <v>31421.999999999996</v>
      </c>
      <c r="H15" s="116">
        <v>37844</v>
      </c>
      <c r="I15" s="220">
        <v>226160</v>
      </c>
      <c r="J15" s="158"/>
    </row>
    <row r="16" spans="1:10" ht="12" customHeight="1">
      <c r="A16" s="297"/>
      <c r="B16" s="161" t="s">
        <v>62</v>
      </c>
      <c r="C16" s="188"/>
      <c r="D16" s="116">
        <v>10363.999999999998</v>
      </c>
      <c r="E16" s="116">
        <v>51482</v>
      </c>
      <c r="F16" s="116">
        <v>79486</v>
      </c>
      <c r="G16" s="116">
        <v>40701</v>
      </c>
      <c r="H16" s="116">
        <v>37897</v>
      </c>
      <c r="I16" s="220">
        <v>219929.99999999997</v>
      </c>
      <c r="J16" s="158"/>
    </row>
    <row r="17" spans="1:10" ht="12" customHeight="1">
      <c r="A17" s="110">
        <v>2021</v>
      </c>
      <c r="B17" s="160" t="s">
        <v>59</v>
      </c>
      <c r="C17" s="169"/>
      <c r="D17" s="112">
        <v>10863.999999999998</v>
      </c>
      <c r="E17" s="112">
        <v>71262</v>
      </c>
      <c r="F17" s="112">
        <v>93989</v>
      </c>
      <c r="G17" s="112">
        <v>37905</v>
      </c>
      <c r="H17" s="112">
        <v>49811.000000000007</v>
      </c>
      <c r="I17" s="219">
        <v>263831</v>
      </c>
      <c r="J17" s="158"/>
    </row>
    <row r="18" spans="1:10" ht="12" customHeight="1">
      <c r="A18" s="296"/>
      <c r="B18" s="143" t="s">
        <v>60</v>
      </c>
      <c r="C18" s="170"/>
      <c r="D18" s="116">
        <v>10033.000000000002</v>
      </c>
      <c r="E18" s="116">
        <v>59954</v>
      </c>
      <c r="F18" s="116">
        <v>91045.999999999985</v>
      </c>
      <c r="G18" s="116">
        <v>42674.000000000007</v>
      </c>
      <c r="H18" s="116">
        <v>44428</v>
      </c>
      <c r="I18" s="220">
        <v>248135</v>
      </c>
      <c r="J18" s="158"/>
    </row>
    <row r="19" spans="1:10" ht="12" customHeight="1">
      <c r="A19" s="296"/>
      <c r="B19" s="143" t="s">
        <v>61</v>
      </c>
      <c r="C19" s="170"/>
      <c r="D19" s="116">
        <v>7831</v>
      </c>
      <c r="E19" s="116">
        <v>53196.999999999993</v>
      </c>
      <c r="F19" s="116">
        <v>94050</v>
      </c>
      <c r="G19" s="116">
        <v>39480.999999999993</v>
      </c>
      <c r="H19" s="116">
        <v>40912</v>
      </c>
      <c r="I19" s="220">
        <v>235471</v>
      </c>
      <c r="J19" s="158"/>
    </row>
    <row r="20" spans="1:10" ht="12" customHeight="1">
      <c r="A20" s="299"/>
      <c r="B20" s="162" t="s">
        <v>62</v>
      </c>
      <c r="C20" s="172"/>
      <c r="D20" s="116">
        <v>13357.999999999998</v>
      </c>
      <c r="E20" s="116">
        <v>50272.000000000007</v>
      </c>
      <c r="F20" s="116">
        <v>91164</v>
      </c>
      <c r="G20" s="116">
        <v>43748.999999999993</v>
      </c>
      <c r="H20" s="116">
        <v>39160</v>
      </c>
      <c r="I20" s="220">
        <v>237703</v>
      </c>
      <c r="J20" s="158"/>
    </row>
    <row r="21" spans="1:10" ht="12" customHeight="1">
      <c r="A21" s="110">
        <f>A9</f>
        <v>2019</v>
      </c>
      <c r="B21" s="111" t="s">
        <v>63</v>
      </c>
      <c r="C21" s="173"/>
      <c r="D21" s="190">
        <v>5334.0000000000009</v>
      </c>
      <c r="E21" s="190">
        <v>38386</v>
      </c>
      <c r="F21" s="190">
        <v>72219</v>
      </c>
      <c r="G21" s="190">
        <v>30763</v>
      </c>
      <c r="H21" s="190">
        <v>40486.999999999993</v>
      </c>
      <c r="I21" s="218">
        <f>IF(SUM(D21:H21)=0,"",SUM(D21:H21))</f>
        <v>187189</v>
      </c>
      <c r="J21" s="158"/>
    </row>
    <row r="22" spans="1:10" ht="12" customHeight="1">
      <c r="A22" s="296"/>
      <c r="B22" s="115" t="s">
        <v>64</v>
      </c>
      <c r="C22" s="174"/>
      <c r="D22" s="144">
        <v>4339</v>
      </c>
      <c r="E22" s="144">
        <v>32626.999999999996</v>
      </c>
      <c r="F22" s="144">
        <v>52771</v>
      </c>
      <c r="G22" s="144">
        <v>24371</v>
      </c>
      <c r="H22" s="144">
        <v>35747</v>
      </c>
      <c r="I22" s="213">
        <f t="shared" ref="I22:I56" si="0">IF(SUM(D22:H22)=0,"",SUM(D22:H22))</f>
        <v>149855</v>
      </c>
      <c r="J22" s="158"/>
    </row>
    <row r="23" spans="1:10" ht="12" customHeight="1">
      <c r="A23" s="300"/>
      <c r="B23" s="164" t="s">
        <v>65</v>
      </c>
      <c r="C23" s="174"/>
      <c r="D23" s="116">
        <v>5848.9999999999991</v>
      </c>
      <c r="E23" s="116">
        <v>59992.000000000007</v>
      </c>
      <c r="F23" s="116">
        <v>57521</v>
      </c>
      <c r="G23" s="116">
        <v>23769</v>
      </c>
      <c r="H23" s="116">
        <v>31920</v>
      </c>
      <c r="I23" s="220">
        <f t="shared" si="0"/>
        <v>179051</v>
      </c>
      <c r="J23" s="158"/>
    </row>
    <row r="24" spans="1:10" ht="12" customHeight="1">
      <c r="A24" s="301"/>
      <c r="B24" s="115" t="s">
        <v>66</v>
      </c>
      <c r="C24" s="174"/>
      <c r="D24" s="116">
        <v>5526.0000000000009</v>
      </c>
      <c r="E24" s="116">
        <v>46451</v>
      </c>
      <c r="F24" s="116">
        <v>85054</v>
      </c>
      <c r="G24" s="116">
        <v>31461.000000000004</v>
      </c>
      <c r="H24" s="116">
        <v>50873</v>
      </c>
      <c r="I24" s="220">
        <f t="shared" si="0"/>
        <v>219365</v>
      </c>
      <c r="J24" s="158"/>
    </row>
    <row r="25" spans="1:10" ht="12" customHeight="1">
      <c r="A25" s="296"/>
      <c r="B25" s="115" t="s">
        <v>67</v>
      </c>
      <c r="C25" s="174"/>
      <c r="D25" s="116">
        <v>6540</v>
      </c>
      <c r="E25" s="116">
        <v>44811</v>
      </c>
      <c r="F25" s="116">
        <v>49718</v>
      </c>
      <c r="G25" s="116">
        <v>31589</v>
      </c>
      <c r="H25" s="116">
        <v>53862</v>
      </c>
      <c r="I25" s="220">
        <f t="shared" si="0"/>
        <v>186520</v>
      </c>
      <c r="J25" s="158"/>
    </row>
    <row r="26" spans="1:10" ht="12" customHeight="1">
      <c r="A26" s="300"/>
      <c r="B26" s="164" t="s">
        <v>68</v>
      </c>
      <c r="C26" s="174"/>
      <c r="D26" s="116">
        <v>14598</v>
      </c>
      <c r="E26" s="116">
        <v>48300.999999999993</v>
      </c>
      <c r="F26" s="116">
        <v>66102</v>
      </c>
      <c r="G26" s="116">
        <v>42431</v>
      </c>
      <c r="H26" s="116">
        <v>59890</v>
      </c>
      <c r="I26" s="220">
        <f t="shared" si="0"/>
        <v>231322</v>
      </c>
      <c r="J26" s="158"/>
    </row>
    <row r="27" spans="1:10" ht="12" customHeight="1">
      <c r="A27" s="300"/>
      <c r="B27" s="115" t="s">
        <v>69</v>
      </c>
      <c r="C27" s="174"/>
      <c r="D27" s="116">
        <v>8207.9999999999982</v>
      </c>
      <c r="E27" s="116">
        <v>44812</v>
      </c>
      <c r="F27" s="116">
        <v>68233</v>
      </c>
      <c r="G27" s="116">
        <v>35685</v>
      </c>
      <c r="H27" s="116">
        <v>49044.000000000007</v>
      </c>
      <c r="I27" s="220">
        <f t="shared" si="0"/>
        <v>205982</v>
      </c>
      <c r="J27" s="158"/>
    </row>
    <row r="28" spans="1:10" ht="12" customHeight="1">
      <c r="A28" s="296"/>
      <c r="B28" s="115" t="s">
        <v>70</v>
      </c>
      <c r="C28" s="174"/>
      <c r="D28" s="144">
        <v>9549</v>
      </c>
      <c r="E28" s="144">
        <v>46814</v>
      </c>
      <c r="F28" s="144">
        <v>82144</v>
      </c>
      <c r="G28" s="144">
        <v>37868</v>
      </c>
      <c r="H28" s="144">
        <v>34992.000000000007</v>
      </c>
      <c r="I28" s="213">
        <f t="shared" si="0"/>
        <v>211367</v>
      </c>
      <c r="J28" s="158"/>
    </row>
    <row r="29" spans="1:10" ht="12" customHeight="1">
      <c r="A29" s="296"/>
      <c r="B29" s="164" t="s">
        <v>71</v>
      </c>
      <c r="C29" s="174"/>
      <c r="D29" s="116">
        <v>9756</v>
      </c>
      <c r="E29" s="116">
        <v>37167</v>
      </c>
      <c r="F29" s="116">
        <v>84495</v>
      </c>
      <c r="G29" s="116">
        <v>39593</v>
      </c>
      <c r="H29" s="116">
        <v>39819</v>
      </c>
      <c r="I29" s="220">
        <f t="shared" si="0"/>
        <v>210830</v>
      </c>
      <c r="J29" s="158"/>
    </row>
    <row r="30" spans="1:10" ht="12" customHeight="1">
      <c r="A30" s="296"/>
      <c r="B30" s="164" t="s">
        <v>72</v>
      </c>
      <c r="C30" s="174"/>
      <c r="D30" s="116">
        <v>6122</v>
      </c>
      <c r="E30" s="116">
        <v>49513.999999999993</v>
      </c>
      <c r="F30" s="116">
        <v>73830</v>
      </c>
      <c r="G30" s="116">
        <v>31913.999999999996</v>
      </c>
      <c r="H30" s="116">
        <v>33115</v>
      </c>
      <c r="I30" s="220">
        <f t="shared" si="0"/>
        <v>194495</v>
      </c>
      <c r="J30" s="158"/>
    </row>
    <row r="31" spans="1:10" ht="12" customHeight="1">
      <c r="A31" s="296"/>
      <c r="B31" s="164" t="s">
        <v>73</v>
      </c>
      <c r="C31" s="174"/>
      <c r="D31" s="116">
        <v>9093</v>
      </c>
      <c r="E31" s="116">
        <v>39602</v>
      </c>
      <c r="F31" s="116">
        <v>62981</v>
      </c>
      <c r="G31" s="116">
        <v>32290.999999999996</v>
      </c>
      <c r="H31" s="116">
        <v>46998</v>
      </c>
      <c r="I31" s="220">
        <f t="shared" si="0"/>
        <v>190965</v>
      </c>
      <c r="J31" s="158"/>
    </row>
    <row r="32" spans="1:10" ht="12" customHeight="1">
      <c r="A32" s="297"/>
      <c r="B32" s="152" t="s">
        <v>74</v>
      </c>
      <c r="C32" s="189"/>
      <c r="D32" s="149">
        <v>9072.0000000000018</v>
      </c>
      <c r="E32" s="149">
        <v>35810</v>
      </c>
      <c r="F32" s="149">
        <v>57352.999999999993</v>
      </c>
      <c r="G32" s="149">
        <v>44117</v>
      </c>
      <c r="H32" s="149">
        <v>41655</v>
      </c>
      <c r="I32" s="217">
        <f t="shared" si="0"/>
        <v>188007</v>
      </c>
      <c r="J32" s="158"/>
    </row>
    <row r="33" spans="1:10" ht="12" customHeight="1">
      <c r="A33" s="110">
        <f>A13</f>
        <v>2020</v>
      </c>
      <c r="B33" s="111" t="s">
        <v>63</v>
      </c>
      <c r="C33" s="173"/>
      <c r="D33" s="190">
        <v>5118</v>
      </c>
      <c r="E33" s="190">
        <v>69255</v>
      </c>
      <c r="F33" s="190">
        <v>67805</v>
      </c>
      <c r="G33" s="190">
        <v>29309</v>
      </c>
      <c r="H33" s="190">
        <v>24535</v>
      </c>
      <c r="I33" s="218">
        <f t="shared" si="0"/>
        <v>196022</v>
      </c>
      <c r="J33" s="158"/>
    </row>
    <row r="34" spans="1:10" ht="12" customHeight="1">
      <c r="A34" s="296"/>
      <c r="B34" s="115" t="s">
        <v>64</v>
      </c>
      <c r="C34" s="174"/>
      <c r="D34" s="144">
        <v>10556.000000000002</v>
      </c>
      <c r="E34" s="144">
        <v>43785</v>
      </c>
      <c r="F34" s="144">
        <v>76258.000000000015</v>
      </c>
      <c r="G34" s="144">
        <v>24680.999999999996</v>
      </c>
      <c r="H34" s="144">
        <v>37845</v>
      </c>
      <c r="I34" s="213">
        <f t="shared" si="0"/>
        <v>193125</v>
      </c>
      <c r="J34" s="158"/>
    </row>
    <row r="35" spans="1:10" ht="12" customHeight="1">
      <c r="A35" s="300"/>
      <c r="B35" s="164" t="s">
        <v>65</v>
      </c>
      <c r="C35" s="174"/>
      <c r="D35" s="116">
        <v>5632</v>
      </c>
      <c r="E35" s="116">
        <v>42185</v>
      </c>
      <c r="F35" s="116">
        <v>63860</v>
      </c>
      <c r="G35" s="116">
        <v>37784</v>
      </c>
      <c r="H35" s="116">
        <v>29792</v>
      </c>
      <c r="I35" s="220">
        <f t="shared" si="0"/>
        <v>179253</v>
      </c>
      <c r="J35" s="158"/>
    </row>
    <row r="36" spans="1:10" ht="12" customHeight="1">
      <c r="A36" s="301"/>
      <c r="B36" s="115" t="s">
        <v>66</v>
      </c>
      <c r="C36" s="174"/>
      <c r="D36" s="116">
        <v>5072</v>
      </c>
      <c r="E36" s="116">
        <v>0</v>
      </c>
      <c r="F36" s="116">
        <v>91832.000000000015</v>
      </c>
      <c r="G36" s="116">
        <v>31535.000000000004</v>
      </c>
      <c r="H36" s="116">
        <v>27474.999999999996</v>
      </c>
      <c r="I36" s="220">
        <f t="shared" si="0"/>
        <v>155914</v>
      </c>
      <c r="J36" s="158"/>
    </row>
    <row r="37" spans="1:10" ht="12" customHeight="1">
      <c r="A37" s="296"/>
      <c r="B37" s="115" t="s">
        <v>67</v>
      </c>
      <c r="C37" s="174"/>
      <c r="D37" s="116">
        <v>7823</v>
      </c>
      <c r="E37" s="116">
        <v>57697</v>
      </c>
      <c r="F37" s="116">
        <v>56376.000000000007</v>
      </c>
      <c r="G37" s="116">
        <v>23914</v>
      </c>
      <c r="H37" s="116">
        <v>36235</v>
      </c>
      <c r="I37" s="220">
        <f t="shared" si="0"/>
        <v>182045</v>
      </c>
      <c r="J37" s="158"/>
    </row>
    <row r="38" spans="1:10" ht="12" customHeight="1">
      <c r="A38" s="300"/>
      <c r="B38" s="164" t="s">
        <v>68</v>
      </c>
      <c r="C38" s="174"/>
      <c r="D38" s="116">
        <v>6981</v>
      </c>
      <c r="E38" s="116">
        <v>52941</v>
      </c>
      <c r="F38" s="116">
        <v>77386</v>
      </c>
      <c r="G38" s="116">
        <v>24059</v>
      </c>
      <c r="H38" s="116">
        <v>36114.000000000007</v>
      </c>
      <c r="I38" s="220">
        <f t="shared" si="0"/>
        <v>197481</v>
      </c>
      <c r="J38" s="158"/>
    </row>
    <row r="39" spans="1:10" ht="12" customHeight="1">
      <c r="A39" s="300"/>
      <c r="B39" s="115" t="s">
        <v>69</v>
      </c>
      <c r="C39" s="174"/>
      <c r="D39" s="116">
        <v>15222.000000000002</v>
      </c>
      <c r="E39" s="116">
        <v>55677</v>
      </c>
      <c r="F39" s="116">
        <v>84455.000000000015</v>
      </c>
      <c r="G39" s="116">
        <v>36626</v>
      </c>
      <c r="H39" s="116">
        <v>38741</v>
      </c>
      <c r="I39" s="220">
        <f t="shared" si="0"/>
        <v>230721</v>
      </c>
      <c r="J39" s="158"/>
    </row>
    <row r="40" spans="1:10" ht="12" customHeight="1">
      <c r="A40" s="296"/>
      <c r="B40" s="115" t="s">
        <v>70</v>
      </c>
      <c r="C40" s="174"/>
      <c r="D40" s="144">
        <v>10011</v>
      </c>
      <c r="E40" s="144">
        <v>56030</v>
      </c>
      <c r="F40" s="144">
        <v>114477</v>
      </c>
      <c r="G40" s="144">
        <v>26601</v>
      </c>
      <c r="H40" s="144">
        <v>41796</v>
      </c>
      <c r="I40" s="213">
        <f t="shared" si="0"/>
        <v>248915</v>
      </c>
      <c r="J40" s="158"/>
    </row>
    <row r="41" spans="1:10" ht="12" customHeight="1">
      <c r="A41" s="296"/>
      <c r="B41" s="164" t="s">
        <v>71</v>
      </c>
      <c r="C41" s="174"/>
      <c r="D41" s="116">
        <v>9056.0000000000018</v>
      </c>
      <c r="E41" s="116">
        <v>47741</v>
      </c>
      <c r="F41" s="116">
        <v>80075</v>
      </c>
      <c r="G41" s="116">
        <v>30376.000000000004</v>
      </c>
      <c r="H41" s="116">
        <v>30708</v>
      </c>
      <c r="I41" s="220">
        <f t="shared" si="0"/>
        <v>197956</v>
      </c>
      <c r="J41" s="158"/>
    </row>
    <row r="42" spans="1:10" ht="12" customHeight="1">
      <c r="A42" s="296"/>
      <c r="B42" s="164" t="s">
        <v>72</v>
      </c>
      <c r="C42" s="174"/>
      <c r="D42" s="116">
        <v>5385.0000000000009</v>
      </c>
      <c r="E42" s="116">
        <v>46397</v>
      </c>
      <c r="F42" s="116">
        <v>83027.000000000015</v>
      </c>
      <c r="G42" s="116">
        <v>43324</v>
      </c>
      <c r="H42" s="116">
        <v>29679.000000000004</v>
      </c>
      <c r="I42" s="220">
        <f t="shared" si="0"/>
        <v>207812</v>
      </c>
      <c r="J42" s="158"/>
    </row>
    <row r="43" spans="1:10" ht="12" customHeight="1">
      <c r="A43" s="296"/>
      <c r="B43" s="164" t="s">
        <v>73</v>
      </c>
      <c r="C43" s="174"/>
      <c r="D43" s="116">
        <v>14079</v>
      </c>
      <c r="E43" s="116">
        <v>54907</v>
      </c>
      <c r="F43" s="116">
        <v>81360.000000000015</v>
      </c>
      <c r="G43" s="116">
        <v>39962</v>
      </c>
      <c r="H43" s="116">
        <v>46263.999999999993</v>
      </c>
      <c r="I43" s="220">
        <f t="shared" si="0"/>
        <v>236572</v>
      </c>
      <c r="J43" s="158"/>
    </row>
    <row r="44" spans="1:10" ht="12" customHeight="1">
      <c r="A44" s="297"/>
      <c r="B44" s="152" t="s">
        <v>74</v>
      </c>
      <c r="C44" s="189"/>
      <c r="D44" s="149">
        <v>12883</v>
      </c>
      <c r="E44" s="149">
        <v>51888.999999999993</v>
      </c>
      <c r="F44" s="149">
        <v>68904</v>
      </c>
      <c r="G44" s="149">
        <v>38513.999999999993</v>
      </c>
      <c r="H44" s="149">
        <v>39468</v>
      </c>
      <c r="I44" s="217">
        <f t="shared" si="0"/>
        <v>211658</v>
      </c>
      <c r="J44" s="158"/>
    </row>
    <row r="45" spans="1:10" ht="12" customHeight="1">
      <c r="A45" s="110">
        <f>A17</f>
        <v>2021</v>
      </c>
      <c r="B45" s="111" t="s">
        <v>63</v>
      </c>
      <c r="C45" s="173"/>
      <c r="D45" s="190">
        <v>10704</v>
      </c>
      <c r="E45" s="190">
        <v>102561</v>
      </c>
      <c r="F45" s="190">
        <v>91105</v>
      </c>
      <c r="G45" s="190">
        <v>40413</v>
      </c>
      <c r="H45" s="190">
        <v>34132.999999999993</v>
      </c>
      <c r="I45" s="218">
        <f t="shared" si="0"/>
        <v>278916</v>
      </c>
      <c r="J45" s="158"/>
    </row>
    <row r="46" spans="1:10" ht="12" customHeight="1">
      <c r="A46" s="120"/>
      <c r="B46" s="115" t="s">
        <v>64</v>
      </c>
      <c r="C46" s="174"/>
      <c r="D46" s="144">
        <v>7806.9999999999991</v>
      </c>
      <c r="E46" s="144">
        <v>72060</v>
      </c>
      <c r="F46" s="144">
        <v>79002</v>
      </c>
      <c r="G46" s="144">
        <v>34349.000000000007</v>
      </c>
      <c r="H46" s="144">
        <v>41462</v>
      </c>
      <c r="I46" s="213">
        <f t="shared" si="0"/>
        <v>234680</v>
      </c>
      <c r="J46" s="158"/>
    </row>
    <row r="47" spans="1:10" ht="12" customHeight="1">
      <c r="A47" s="163"/>
      <c r="B47" s="164" t="s">
        <v>65</v>
      </c>
      <c r="C47" s="174"/>
      <c r="D47" s="116">
        <v>6635.0000000000009</v>
      </c>
      <c r="E47" s="116">
        <v>66304.999999999985</v>
      </c>
      <c r="F47" s="116">
        <v>118871.99999999999</v>
      </c>
      <c r="G47" s="116">
        <v>37823</v>
      </c>
      <c r="H47" s="116">
        <v>67122</v>
      </c>
      <c r="I47" s="220">
        <f t="shared" si="0"/>
        <v>296757</v>
      </c>
      <c r="J47" s="158"/>
    </row>
    <row r="48" spans="1:10" ht="12" customHeight="1">
      <c r="A48" s="165"/>
      <c r="B48" s="115" t="s">
        <v>66</v>
      </c>
      <c r="C48" s="174"/>
      <c r="D48" s="116">
        <v>9068.9999999999982</v>
      </c>
      <c r="E48" s="116">
        <v>59960</v>
      </c>
      <c r="F48" s="116">
        <v>101741</v>
      </c>
      <c r="G48" s="116">
        <v>42880</v>
      </c>
      <c r="H48" s="116">
        <v>35102.000000000007</v>
      </c>
      <c r="I48" s="220">
        <f t="shared" si="0"/>
        <v>248752</v>
      </c>
      <c r="J48" s="158"/>
    </row>
    <row r="49" spans="1:12" ht="12" customHeight="1">
      <c r="A49" s="120"/>
      <c r="B49" s="115" t="s">
        <v>67</v>
      </c>
      <c r="C49" s="174"/>
      <c r="D49" s="116">
        <v>16469</v>
      </c>
      <c r="E49" s="116">
        <v>55568</v>
      </c>
      <c r="F49" s="116">
        <v>93433</v>
      </c>
      <c r="G49" s="116">
        <v>46427</v>
      </c>
      <c r="H49" s="116">
        <v>42422</v>
      </c>
      <c r="I49" s="220">
        <f t="shared" si="0"/>
        <v>254319</v>
      </c>
      <c r="J49" s="158"/>
    </row>
    <row r="50" spans="1:12" ht="12" customHeight="1">
      <c r="A50" s="163"/>
      <c r="B50" s="164" t="s">
        <v>68</v>
      </c>
      <c r="C50" s="174"/>
      <c r="D50" s="116">
        <v>7491</v>
      </c>
      <c r="E50" s="116">
        <v>56736.999999999993</v>
      </c>
      <c r="F50" s="116">
        <v>81562</v>
      </c>
      <c r="G50" s="116">
        <v>41574</v>
      </c>
      <c r="H50" s="116">
        <v>61897</v>
      </c>
      <c r="I50" s="220">
        <f t="shared" si="0"/>
        <v>249261</v>
      </c>
      <c r="J50" s="158"/>
    </row>
    <row r="51" spans="1:12" ht="12" customHeight="1">
      <c r="A51" s="163"/>
      <c r="B51" s="115" t="s">
        <v>69</v>
      </c>
      <c r="C51" s="174"/>
      <c r="D51" s="116">
        <v>11084</v>
      </c>
      <c r="E51" s="116">
        <v>57857</v>
      </c>
      <c r="F51" s="116">
        <v>90570</v>
      </c>
      <c r="G51" s="116">
        <v>38736</v>
      </c>
      <c r="H51" s="116">
        <v>46458</v>
      </c>
      <c r="I51" s="220">
        <f t="shared" si="0"/>
        <v>244705</v>
      </c>
      <c r="J51" s="158"/>
    </row>
    <row r="52" spans="1:12" ht="12" customHeight="1">
      <c r="A52" s="120"/>
      <c r="B52" s="115" t="s">
        <v>70</v>
      </c>
      <c r="C52" s="174"/>
      <c r="D52" s="144">
        <v>6398</v>
      </c>
      <c r="E52" s="144">
        <v>46676</v>
      </c>
      <c r="F52" s="144">
        <v>98914.999999999985</v>
      </c>
      <c r="G52" s="144">
        <v>38085</v>
      </c>
      <c r="H52" s="144">
        <v>42224</v>
      </c>
      <c r="I52" s="213">
        <f t="shared" si="0"/>
        <v>232298</v>
      </c>
      <c r="J52" s="158"/>
    </row>
    <row r="53" spans="1:12" ht="12" customHeight="1">
      <c r="A53" s="120"/>
      <c r="B53" s="164" t="s">
        <v>71</v>
      </c>
      <c r="C53" s="174"/>
      <c r="D53" s="116">
        <v>6826.0000000000009</v>
      </c>
      <c r="E53" s="116">
        <v>53021</v>
      </c>
      <c r="F53" s="116">
        <v>91186</v>
      </c>
      <c r="G53" s="116">
        <v>40093</v>
      </c>
      <c r="H53" s="116">
        <v>31559</v>
      </c>
      <c r="I53" s="220">
        <f t="shared" si="0"/>
        <v>222685</v>
      </c>
      <c r="J53" s="158"/>
    </row>
    <row r="54" spans="1:12" ht="12" customHeight="1">
      <c r="A54" s="120"/>
      <c r="B54" s="164" t="s">
        <v>72</v>
      </c>
      <c r="C54" s="174"/>
      <c r="D54" s="116">
        <v>13880</v>
      </c>
      <c r="E54" s="116">
        <v>49607</v>
      </c>
      <c r="F54" s="116">
        <v>76751</v>
      </c>
      <c r="G54" s="116">
        <v>41803</v>
      </c>
      <c r="H54" s="116">
        <v>32366</v>
      </c>
      <c r="I54" s="220">
        <f t="shared" si="0"/>
        <v>214407</v>
      </c>
      <c r="J54" s="158"/>
    </row>
    <row r="55" spans="1:12" ht="12" customHeight="1">
      <c r="A55" s="120"/>
      <c r="B55" s="164" t="s">
        <v>73</v>
      </c>
      <c r="C55" s="174"/>
      <c r="D55" s="116">
        <v>12818</v>
      </c>
      <c r="E55" s="116">
        <v>56254.999999999993</v>
      </c>
      <c r="F55" s="116">
        <v>125380</v>
      </c>
      <c r="G55" s="116">
        <v>49530</v>
      </c>
      <c r="H55" s="116">
        <v>35815</v>
      </c>
      <c r="I55" s="220">
        <f t="shared" si="0"/>
        <v>279798</v>
      </c>
      <c r="J55" s="158"/>
    </row>
    <row r="56" spans="1:12" ht="12" customHeight="1" thickBot="1">
      <c r="A56" s="90"/>
      <c r="B56" s="166" t="s">
        <v>74</v>
      </c>
      <c r="C56" s="176"/>
      <c r="D56" s="146">
        <v>14197.000000000002</v>
      </c>
      <c r="E56" s="146">
        <v>41993</v>
      </c>
      <c r="F56" s="146">
        <v>66287</v>
      </c>
      <c r="G56" s="146">
        <v>39450</v>
      </c>
      <c r="H56" s="146">
        <v>50991</v>
      </c>
      <c r="I56" s="221">
        <f t="shared" si="0"/>
        <v>212918</v>
      </c>
      <c r="J56" s="158"/>
    </row>
    <row r="57" spans="1:12" s="10" customFormat="1" ht="12" customHeight="1">
      <c r="A57" s="53" t="str">
        <f>Titles!$A$12</f>
        <v>1 Data for 2020 and 2021 based on 2016 Census Definitions.</v>
      </c>
      <c r="B57" s="87"/>
      <c r="C57" s="408"/>
      <c r="D57" s="360"/>
      <c r="E57" s="54"/>
      <c r="F57" s="360"/>
      <c r="G57" s="360"/>
      <c r="H57" s="409"/>
      <c r="I57" s="79"/>
      <c r="J57" s="240"/>
      <c r="K57" s="341"/>
      <c r="L57" s="11"/>
    </row>
    <row r="58" spans="1:12" s="12" customFormat="1" ht="12">
      <c r="A58" s="402" t="s">
        <v>118</v>
      </c>
      <c r="B58" s="348"/>
      <c r="C58" s="348"/>
      <c r="D58" s="348"/>
      <c r="E58" s="401"/>
      <c r="F58" s="346"/>
      <c r="G58" s="346"/>
      <c r="H58" s="346"/>
      <c r="I58" s="347"/>
    </row>
    <row r="59" spans="1:12" s="347" customFormat="1" ht="10.9" customHeight="1">
      <c r="A59" s="361" t="str">
        <f>Titles!$A$10</f>
        <v>Source: CMHC Starts and Completion Survey, Market Absorption Survey</v>
      </c>
      <c r="B59" s="348"/>
      <c r="C59" s="348"/>
      <c r="D59" s="348"/>
      <c r="E59" s="362"/>
      <c r="F59" s="348"/>
      <c r="G59" s="348"/>
      <c r="H59" s="348"/>
    </row>
    <row r="60" spans="1:12" s="347" customFormat="1" ht="10.9" customHeight="1"/>
    <row r="61" spans="1:12" ht="12" customHeight="1">
      <c r="A61" s="361"/>
      <c r="B61" s="179"/>
      <c r="C61" s="179"/>
      <c r="D61" s="179"/>
      <c r="E61" s="179"/>
      <c r="F61" s="362"/>
      <c r="G61" s="179"/>
      <c r="H61" s="179"/>
      <c r="I61" s="179"/>
    </row>
  </sheetData>
  <phoneticPr fontId="11" type="noConversion"/>
  <pageMargins left="0.78740157480314965" right="0.51181102362204722" top="0.51181102362204722" bottom="0.51181102362204722" header="0.51181102362204722" footer="0.51181102362204722"/>
  <pageSetup scale="99" orientation="portrait" r:id="rId1"/>
  <headerFooter alignWithMargins="0"/>
  <ignoredErrors>
    <ignoredError sqref="I21:I45 I46:I55 A21 A33 A45" unlocked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64"/>
  <sheetViews>
    <sheetView showGridLines="0" zoomScaleNormal="100" workbookViewId="0"/>
  </sheetViews>
  <sheetFormatPr defaultColWidth="11.5546875" defaultRowHeight="15"/>
  <cols>
    <col min="1" max="1" width="4.77734375" style="312" customWidth="1"/>
    <col min="2" max="3" width="8.33203125" customWidth="1"/>
    <col min="4" max="4" width="9.77734375" customWidth="1"/>
    <col min="5" max="5" width="10.21875" customWidth="1"/>
    <col min="6" max="6" width="10.77734375" customWidth="1"/>
    <col min="7" max="7" width="12.77734375" customWidth="1"/>
    <col min="8" max="8" width="9.77734375" customWidth="1"/>
  </cols>
  <sheetData>
    <row r="1" spans="1:9" s="10" customFormat="1" ht="15.95" customHeight="1">
      <c r="A1" s="505" t="s">
        <v>147</v>
      </c>
      <c r="B1" s="506"/>
      <c r="C1" s="506"/>
      <c r="D1" s="506"/>
      <c r="E1" s="506"/>
      <c r="F1" s="506"/>
      <c r="G1" s="506"/>
      <c r="H1" s="507"/>
      <c r="I1" s="11"/>
    </row>
    <row r="2" spans="1:9" s="10" customFormat="1" ht="15.95" customHeight="1">
      <c r="A2" s="508" t="s">
        <v>164</v>
      </c>
      <c r="B2" s="509"/>
      <c r="C2" s="509"/>
      <c r="D2" s="509"/>
      <c r="E2" s="509"/>
      <c r="F2" s="509"/>
      <c r="G2" s="509"/>
      <c r="H2" s="510"/>
      <c r="I2" s="11"/>
    </row>
    <row r="3" spans="1:9" s="10" customFormat="1" ht="15.95" customHeight="1">
      <c r="A3" s="541"/>
      <c r="B3" s="542"/>
      <c r="C3" s="542"/>
      <c r="D3" s="542"/>
      <c r="E3" s="542"/>
      <c r="F3" s="542"/>
      <c r="G3" s="542"/>
      <c r="H3" s="543"/>
      <c r="I3" s="11"/>
    </row>
    <row r="4" spans="1:9" s="10" customFormat="1" ht="15.95" customHeight="1" thickBot="1">
      <c r="A4" s="544"/>
      <c r="B4" s="545"/>
      <c r="C4" s="545"/>
      <c r="D4" s="545"/>
      <c r="E4" s="545"/>
      <c r="F4" s="545"/>
      <c r="G4" s="545"/>
      <c r="H4" s="546"/>
      <c r="I4" s="11"/>
    </row>
    <row r="5" spans="1:9" ht="12" customHeight="1">
      <c r="A5" s="307" t="s">
        <v>96</v>
      </c>
      <c r="B5" s="95"/>
      <c r="C5" s="124"/>
      <c r="D5" s="98" t="s">
        <v>79</v>
      </c>
      <c r="E5" s="125" t="s">
        <v>83</v>
      </c>
      <c r="F5" s="125" t="s">
        <v>80</v>
      </c>
      <c r="G5" s="125" t="s">
        <v>81</v>
      </c>
      <c r="H5" s="691" t="s">
        <v>46</v>
      </c>
      <c r="I5" s="158"/>
    </row>
    <row r="6" spans="1:9" ht="12" customHeight="1">
      <c r="B6" s="92"/>
      <c r="C6" s="103"/>
      <c r="D6" s="98"/>
      <c r="E6" s="98" t="s">
        <v>82</v>
      </c>
      <c r="F6" s="98"/>
      <c r="G6" s="98"/>
      <c r="H6" s="105"/>
      <c r="I6" s="158"/>
    </row>
    <row r="7" spans="1:9" ht="12" customHeight="1">
      <c r="A7" s="305"/>
      <c r="B7" s="92"/>
      <c r="C7" s="103"/>
      <c r="E7" s="99"/>
      <c r="F7" s="99"/>
      <c r="G7" s="99"/>
      <c r="H7" s="105"/>
      <c r="I7" s="158"/>
    </row>
    <row r="8" spans="1:9" ht="12" customHeight="1">
      <c r="A8" s="148"/>
      <c r="B8" s="148"/>
      <c r="C8" s="155"/>
      <c r="D8" s="153"/>
      <c r="E8" s="153"/>
      <c r="F8" s="153"/>
      <c r="G8" s="153"/>
      <c r="H8" s="105"/>
      <c r="I8" s="158"/>
    </row>
    <row r="9" spans="1:9" ht="12" customHeight="1">
      <c r="A9" s="137" t="s">
        <v>138</v>
      </c>
      <c r="B9" s="159"/>
      <c r="C9" s="187"/>
      <c r="D9" s="421">
        <v>639</v>
      </c>
      <c r="E9" s="421">
        <v>1114</v>
      </c>
      <c r="F9" s="421">
        <v>4080</v>
      </c>
      <c r="G9" s="421">
        <v>2335</v>
      </c>
      <c r="H9" s="655">
        <v>8168</v>
      </c>
      <c r="I9" s="158"/>
    </row>
    <row r="10" spans="1:9" ht="12" customHeight="1">
      <c r="A10" s="85" t="s">
        <v>140</v>
      </c>
      <c r="B10" s="93"/>
      <c r="C10" s="103"/>
      <c r="D10" s="421">
        <v>506</v>
      </c>
      <c r="E10" s="421">
        <v>995</v>
      </c>
      <c r="F10" s="421">
        <v>4378</v>
      </c>
      <c r="G10" s="421">
        <v>3162</v>
      </c>
      <c r="H10" s="663">
        <v>9041</v>
      </c>
      <c r="I10" s="158"/>
    </row>
    <row r="11" spans="1:9" ht="11.85" customHeight="1">
      <c r="A11" s="304" t="s">
        <v>122</v>
      </c>
      <c r="B11" s="160" t="s">
        <v>59</v>
      </c>
      <c r="C11" s="169"/>
      <c r="D11" s="112">
        <v>462.00000000000006</v>
      </c>
      <c r="E11" s="112">
        <v>390</v>
      </c>
      <c r="F11" s="112">
        <v>3596</v>
      </c>
      <c r="G11" s="112">
        <v>1190</v>
      </c>
      <c r="H11" s="219">
        <v>5638</v>
      </c>
      <c r="I11" s="158"/>
    </row>
    <row r="12" spans="1:9" ht="11.85" customHeight="1">
      <c r="A12" s="308"/>
      <c r="B12" s="143" t="s">
        <v>60</v>
      </c>
      <c r="C12" s="170"/>
      <c r="D12" s="116">
        <v>575</v>
      </c>
      <c r="E12" s="116">
        <v>845</v>
      </c>
      <c r="F12" s="116">
        <v>4714</v>
      </c>
      <c r="G12" s="116">
        <v>3183</v>
      </c>
      <c r="H12" s="220">
        <v>9317</v>
      </c>
      <c r="I12" s="158"/>
    </row>
    <row r="13" spans="1:9" ht="11.85" customHeight="1">
      <c r="A13" s="308"/>
      <c r="B13" s="143" t="s">
        <v>61</v>
      </c>
      <c r="C13" s="170"/>
      <c r="D13" s="116">
        <v>688</v>
      </c>
      <c r="E13" s="116">
        <v>1958.0000000000002</v>
      </c>
      <c r="F13" s="116">
        <v>3756</v>
      </c>
      <c r="G13" s="116">
        <v>2719</v>
      </c>
      <c r="H13" s="220">
        <v>9120.9999999999982</v>
      </c>
      <c r="I13" s="158"/>
    </row>
    <row r="14" spans="1:9" ht="11.85" customHeight="1">
      <c r="A14" s="306"/>
      <c r="B14" s="161" t="s">
        <v>62</v>
      </c>
      <c r="C14" s="188"/>
      <c r="D14" s="116">
        <v>733.99999999999989</v>
      </c>
      <c r="E14" s="116">
        <v>1115</v>
      </c>
      <c r="F14" s="116">
        <v>4035</v>
      </c>
      <c r="G14" s="116">
        <v>1988.9999999999998</v>
      </c>
      <c r="H14" s="220">
        <v>7873</v>
      </c>
      <c r="I14" s="158"/>
    </row>
    <row r="15" spans="1:9" ht="11.85" customHeight="1">
      <c r="A15" s="304" t="s">
        <v>129</v>
      </c>
      <c r="B15" s="160" t="s">
        <v>59</v>
      </c>
      <c r="C15" s="169"/>
      <c r="D15" s="112">
        <v>494</v>
      </c>
      <c r="E15" s="112">
        <v>645</v>
      </c>
      <c r="F15" s="112">
        <v>4023.0000000000005</v>
      </c>
      <c r="G15" s="112">
        <v>3490.9999999999995</v>
      </c>
      <c r="H15" s="219">
        <v>8653</v>
      </c>
      <c r="I15" s="158"/>
    </row>
    <row r="16" spans="1:9" ht="11.85" customHeight="1">
      <c r="A16" s="308"/>
      <c r="B16" s="143" t="s">
        <v>60</v>
      </c>
      <c r="C16" s="170"/>
      <c r="D16" s="116">
        <v>297.00000000000006</v>
      </c>
      <c r="E16" s="116">
        <v>1280</v>
      </c>
      <c r="F16" s="116">
        <v>2647.0000000000005</v>
      </c>
      <c r="G16" s="116">
        <v>2417</v>
      </c>
      <c r="H16" s="220">
        <v>6641</v>
      </c>
      <c r="I16" s="158"/>
    </row>
    <row r="17" spans="1:9" ht="11.85" customHeight="1">
      <c r="A17" s="308"/>
      <c r="B17" s="143" t="s">
        <v>61</v>
      </c>
      <c r="C17" s="170"/>
      <c r="D17" s="116">
        <v>581</v>
      </c>
      <c r="E17" s="116">
        <v>1123</v>
      </c>
      <c r="F17" s="116">
        <v>5622</v>
      </c>
      <c r="G17" s="116">
        <v>3360.9999999999995</v>
      </c>
      <c r="H17" s="220">
        <v>10687</v>
      </c>
      <c r="I17" s="158"/>
    </row>
    <row r="18" spans="1:9" ht="11.85" customHeight="1">
      <c r="A18" s="306"/>
      <c r="B18" s="161" t="s">
        <v>62</v>
      </c>
      <c r="C18" s="188"/>
      <c r="D18" s="116">
        <v>628.00000000000011</v>
      </c>
      <c r="E18" s="116">
        <v>836.99999999999989</v>
      </c>
      <c r="F18" s="116">
        <v>5202.9999999999991</v>
      </c>
      <c r="G18" s="116">
        <v>3696</v>
      </c>
      <c r="H18" s="220">
        <v>10363.999999999998</v>
      </c>
      <c r="I18" s="158"/>
    </row>
    <row r="19" spans="1:9" ht="11.85" customHeight="1">
      <c r="A19" s="304" t="s">
        <v>141</v>
      </c>
      <c r="B19" s="160" t="s">
        <v>59</v>
      </c>
      <c r="C19" s="169"/>
      <c r="D19" s="112">
        <v>690</v>
      </c>
      <c r="E19" s="112">
        <v>976</v>
      </c>
      <c r="F19" s="112">
        <v>5015</v>
      </c>
      <c r="G19" s="112">
        <v>4183</v>
      </c>
      <c r="H19" s="219">
        <v>10863.999999999998</v>
      </c>
      <c r="I19" s="158"/>
    </row>
    <row r="20" spans="1:9" ht="11.85" customHeight="1">
      <c r="A20" s="308"/>
      <c r="B20" s="143" t="s">
        <v>60</v>
      </c>
      <c r="C20" s="170"/>
      <c r="D20" s="116">
        <v>733.00000000000011</v>
      </c>
      <c r="E20" s="116">
        <v>1016</v>
      </c>
      <c r="F20" s="116">
        <v>4494</v>
      </c>
      <c r="G20" s="116">
        <v>3790</v>
      </c>
      <c r="H20" s="220">
        <v>10033.000000000002</v>
      </c>
      <c r="I20" s="158"/>
    </row>
    <row r="21" spans="1:9" ht="11.85" customHeight="1">
      <c r="A21" s="308"/>
      <c r="B21" s="143" t="s">
        <v>61</v>
      </c>
      <c r="C21" s="170"/>
      <c r="D21" s="116">
        <v>621.00000000000011</v>
      </c>
      <c r="E21" s="116">
        <v>890.99999999999989</v>
      </c>
      <c r="F21" s="116">
        <v>3487</v>
      </c>
      <c r="G21" s="116">
        <v>2832</v>
      </c>
      <c r="H21" s="220">
        <v>7831</v>
      </c>
      <c r="I21" s="158"/>
    </row>
    <row r="22" spans="1:9" ht="11.85" customHeight="1">
      <c r="A22" s="307"/>
      <c r="B22" s="162" t="s">
        <v>62</v>
      </c>
      <c r="C22" s="172"/>
      <c r="D22" s="116">
        <v>572.00000000000011</v>
      </c>
      <c r="E22" s="116">
        <v>1104</v>
      </c>
      <c r="F22" s="116">
        <v>8193.9999999999982</v>
      </c>
      <c r="G22" s="116">
        <v>3488</v>
      </c>
      <c r="H22" s="223">
        <v>13357.999999999998</v>
      </c>
      <c r="I22" s="158"/>
    </row>
    <row r="23" spans="1:9" ht="11.85" customHeight="1">
      <c r="A23" s="304" t="s">
        <v>122</v>
      </c>
      <c r="B23" s="111" t="s">
        <v>63</v>
      </c>
      <c r="C23" s="173"/>
      <c r="D23" s="190">
        <v>458</v>
      </c>
      <c r="E23" s="190">
        <v>644</v>
      </c>
      <c r="F23" s="190">
        <v>3043</v>
      </c>
      <c r="G23" s="190">
        <v>1189</v>
      </c>
      <c r="H23" s="215">
        <f>IF(SUM(C23:G23)=0,"",SUM(C23:G23))</f>
        <v>5334</v>
      </c>
      <c r="I23" s="158"/>
    </row>
    <row r="24" spans="1:9" ht="11.85" customHeight="1">
      <c r="A24" s="308"/>
      <c r="B24" s="115" t="s">
        <v>64</v>
      </c>
      <c r="C24" s="174"/>
      <c r="D24" s="144">
        <v>479</v>
      </c>
      <c r="E24" s="144">
        <v>269</v>
      </c>
      <c r="F24" s="144">
        <v>3123</v>
      </c>
      <c r="G24" s="144">
        <v>468</v>
      </c>
      <c r="H24" s="220">
        <f t="shared" ref="H24:H58" si="0">IF(SUM(C24:G24)=0,"",SUM(C24:G24))</f>
        <v>4339</v>
      </c>
      <c r="I24" s="158"/>
    </row>
    <row r="25" spans="1:9" ht="11.85" customHeight="1">
      <c r="A25" s="309"/>
      <c r="B25" s="164" t="s">
        <v>65</v>
      </c>
      <c r="C25" s="174"/>
      <c r="D25" s="116">
        <v>413</v>
      </c>
      <c r="E25" s="116">
        <v>78</v>
      </c>
      <c r="F25" s="116">
        <v>4664</v>
      </c>
      <c r="G25" s="116">
        <v>694</v>
      </c>
      <c r="H25" s="220">
        <f t="shared" si="0"/>
        <v>5849</v>
      </c>
      <c r="I25" s="158"/>
    </row>
    <row r="26" spans="1:9" ht="11.85" customHeight="1">
      <c r="A26" s="310"/>
      <c r="B26" s="115" t="s">
        <v>66</v>
      </c>
      <c r="C26" s="174"/>
      <c r="D26" s="116">
        <v>342</v>
      </c>
      <c r="E26" s="116">
        <v>272.99999999999994</v>
      </c>
      <c r="F26" s="116">
        <v>3360.0000000000005</v>
      </c>
      <c r="G26" s="116">
        <v>1551.0000000000002</v>
      </c>
      <c r="H26" s="220">
        <f t="shared" si="0"/>
        <v>5526.0000000000009</v>
      </c>
      <c r="I26" s="158"/>
    </row>
    <row r="27" spans="1:9" ht="11.85" customHeight="1">
      <c r="A27" s="308"/>
      <c r="B27" s="115" t="s">
        <v>67</v>
      </c>
      <c r="C27" s="174"/>
      <c r="D27" s="116">
        <v>516</v>
      </c>
      <c r="E27" s="116">
        <v>854</v>
      </c>
      <c r="F27" s="116">
        <v>3330</v>
      </c>
      <c r="G27" s="116">
        <v>1840</v>
      </c>
      <c r="H27" s="220">
        <f t="shared" si="0"/>
        <v>6540</v>
      </c>
      <c r="I27" s="158"/>
    </row>
    <row r="28" spans="1:9" ht="11.85" customHeight="1">
      <c r="A28" s="309"/>
      <c r="B28" s="164" t="s">
        <v>68</v>
      </c>
      <c r="C28" s="174"/>
      <c r="D28" s="116">
        <v>687</v>
      </c>
      <c r="E28" s="116">
        <v>1409</v>
      </c>
      <c r="F28" s="116">
        <v>7466</v>
      </c>
      <c r="G28" s="116">
        <v>5036</v>
      </c>
      <c r="H28" s="220">
        <f t="shared" si="0"/>
        <v>14598</v>
      </c>
      <c r="I28" s="158"/>
    </row>
    <row r="29" spans="1:9" ht="11.85" customHeight="1">
      <c r="A29" s="309"/>
      <c r="B29" s="115" t="s">
        <v>69</v>
      </c>
      <c r="C29" s="174"/>
      <c r="D29" s="116">
        <v>510</v>
      </c>
      <c r="E29" s="116">
        <v>1696</v>
      </c>
      <c r="F29" s="116">
        <v>3494</v>
      </c>
      <c r="G29" s="116">
        <v>2508</v>
      </c>
      <c r="H29" s="220">
        <f t="shared" si="0"/>
        <v>8208</v>
      </c>
      <c r="I29" s="158"/>
    </row>
    <row r="30" spans="1:9" ht="11.85" customHeight="1">
      <c r="A30" s="308"/>
      <c r="B30" s="115" t="s">
        <v>70</v>
      </c>
      <c r="C30" s="174"/>
      <c r="D30" s="144">
        <v>743</v>
      </c>
      <c r="E30" s="144">
        <v>766</v>
      </c>
      <c r="F30" s="144">
        <v>4465</v>
      </c>
      <c r="G30" s="144">
        <v>3574.9999999999995</v>
      </c>
      <c r="H30" s="220">
        <f t="shared" si="0"/>
        <v>9549</v>
      </c>
      <c r="I30" s="158"/>
    </row>
    <row r="31" spans="1:9" ht="11.85" customHeight="1">
      <c r="A31" s="308"/>
      <c r="B31" s="164" t="s">
        <v>71</v>
      </c>
      <c r="C31" s="174"/>
      <c r="D31" s="116">
        <v>820.00000000000011</v>
      </c>
      <c r="E31" s="116">
        <v>1792</v>
      </c>
      <c r="F31" s="116">
        <v>3343</v>
      </c>
      <c r="G31" s="116">
        <v>3801</v>
      </c>
      <c r="H31" s="220">
        <f t="shared" si="0"/>
        <v>9756</v>
      </c>
      <c r="I31" s="158"/>
    </row>
    <row r="32" spans="1:9" ht="11.85" customHeight="1">
      <c r="A32" s="308"/>
      <c r="B32" s="164" t="s">
        <v>72</v>
      </c>
      <c r="C32" s="174"/>
      <c r="D32" s="116">
        <v>732</v>
      </c>
      <c r="E32" s="116">
        <v>1088</v>
      </c>
      <c r="F32" s="116">
        <v>2676.9999999999995</v>
      </c>
      <c r="G32" s="116">
        <v>1625</v>
      </c>
      <c r="H32" s="220">
        <f t="shared" si="0"/>
        <v>6122</v>
      </c>
      <c r="I32" s="158"/>
    </row>
    <row r="33" spans="1:9" ht="11.85" customHeight="1">
      <c r="A33" s="308"/>
      <c r="B33" s="164" t="s">
        <v>73</v>
      </c>
      <c r="C33" s="174"/>
      <c r="D33" s="116">
        <v>832.00000000000011</v>
      </c>
      <c r="E33" s="116">
        <v>839</v>
      </c>
      <c r="F33" s="116">
        <v>3469.0000000000005</v>
      </c>
      <c r="G33" s="116">
        <v>3953.0000000000005</v>
      </c>
      <c r="H33" s="220">
        <f t="shared" si="0"/>
        <v>9093</v>
      </c>
      <c r="I33" s="158"/>
    </row>
    <row r="34" spans="1:9" ht="11.85" customHeight="1">
      <c r="A34" s="306"/>
      <c r="B34" s="152" t="s">
        <v>74</v>
      </c>
      <c r="C34" s="189"/>
      <c r="D34" s="149">
        <v>685</v>
      </c>
      <c r="E34" s="149">
        <v>1339</v>
      </c>
      <c r="F34" s="149">
        <v>6001</v>
      </c>
      <c r="G34" s="149">
        <v>1047.0000000000002</v>
      </c>
      <c r="H34" s="223">
        <f t="shared" si="0"/>
        <v>9072</v>
      </c>
      <c r="I34" s="158"/>
    </row>
    <row r="35" spans="1:9" ht="11.85" customHeight="1">
      <c r="A35" s="304" t="s">
        <v>129</v>
      </c>
      <c r="B35" s="111" t="s">
        <v>63</v>
      </c>
      <c r="C35" s="173"/>
      <c r="D35" s="190">
        <v>457</v>
      </c>
      <c r="E35" s="190">
        <v>417</v>
      </c>
      <c r="F35" s="190">
        <v>2512</v>
      </c>
      <c r="G35" s="190">
        <v>1732</v>
      </c>
      <c r="H35" s="215">
        <f t="shared" si="0"/>
        <v>5118</v>
      </c>
      <c r="I35" s="158"/>
    </row>
    <row r="36" spans="1:9" ht="11.85" customHeight="1">
      <c r="A36" s="308"/>
      <c r="B36" s="115" t="s">
        <v>64</v>
      </c>
      <c r="C36" s="174"/>
      <c r="D36" s="144">
        <v>638</v>
      </c>
      <c r="E36" s="144">
        <v>1122</v>
      </c>
      <c r="F36" s="144">
        <v>7496</v>
      </c>
      <c r="G36" s="144">
        <v>1300</v>
      </c>
      <c r="H36" s="220">
        <f t="shared" si="0"/>
        <v>10556</v>
      </c>
      <c r="I36" s="158"/>
    </row>
    <row r="37" spans="1:9" ht="11.85" customHeight="1">
      <c r="A37" s="309"/>
      <c r="B37" s="164" t="s">
        <v>65</v>
      </c>
      <c r="C37" s="174"/>
      <c r="D37" s="116">
        <v>284</v>
      </c>
      <c r="E37" s="116">
        <v>295</v>
      </c>
      <c r="F37" s="116">
        <v>2283.0000000000005</v>
      </c>
      <c r="G37" s="116">
        <v>2770</v>
      </c>
      <c r="H37" s="220">
        <f t="shared" si="0"/>
        <v>5632</v>
      </c>
      <c r="I37" s="158"/>
    </row>
    <row r="38" spans="1:9" ht="11.85" customHeight="1">
      <c r="A38" s="310"/>
      <c r="B38" s="115" t="s">
        <v>66</v>
      </c>
      <c r="C38" s="174"/>
      <c r="D38" s="116">
        <v>261</v>
      </c>
      <c r="E38" s="116">
        <v>607</v>
      </c>
      <c r="F38" s="116">
        <v>2112</v>
      </c>
      <c r="G38" s="116">
        <v>2092</v>
      </c>
      <c r="H38" s="220">
        <f t="shared" si="0"/>
        <v>5072</v>
      </c>
      <c r="I38" s="158"/>
    </row>
    <row r="39" spans="1:9" ht="11.85" customHeight="1">
      <c r="A39" s="308"/>
      <c r="B39" s="115" t="s">
        <v>67</v>
      </c>
      <c r="C39" s="174"/>
      <c r="D39" s="116">
        <v>177.00000000000003</v>
      </c>
      <c r="E39" s="116">
        <v>1012.9999999999999</v>
      </c>
      <c r="F39" s="116">
        <v>3488</v>
      </c>
      <c r="G39" s="116">
        <v>3145</v>
      </c>
      <c r="H39" s="220">
        <f t="shared" si="0"/>
        <v>7823</v>
      </c>
      <c r="I39" s="158"/>
    </row>
    <row r="40" spans="1:9" ht="11.85" customHeight="1">
      <c r="A40" s="309"/>
      <c r="B40" s="164" t="s">
        <v>68</v>
      </c>
      <c r="C40" s="174"/>
      <c r="D40" s="116">
        <v>397</v>
      </c>
      <c r="E40" s="116">
        <v>1847.9999999999998</v>
      </c>
      <c r="F40" s="116">
        <v>2417</v>
      </c>
      <c r="G40" s="116">
        <v>2319</v>
      </c>
      <c r="H40" s="220">
        <f t="shared" si="0"/>
        <v>6981</v>
      </c>
      <c r="I40" s="158"/>
    </row>
    <row r="41" spans="1:9" ht="11.85" customHeight="1">
      <c r="A41" s="309"/>
      <c r="B41" s="115" t="s">
        <v>69</v>
      </c>
      <c r="C41" s="174"/>
      <c r="D41" s="116">
        <v>688</v>
      </c>
      <c r="E41" s="116">
        <v>381</v>
      </c>
      <c r="F41" s="116">
        <v>7530</v>
      </c>
      <c r="G41" s="116">
        <v>6623</v>
      </c>
      <c r="H41" s="220">
        <f t="shared" si="0"/>
        <v>15222</v>
      </c>
      <c r="I41" s="158"/>
    </row>
    <row r="42" spans="1:9" ht="11.85" customHeight="1">
      <c r="A42" s="308"/>
      <c r="B42" s="115" t="s">
        <v>70</v>
      </c>
      <c r="C42" s="174"/>
      <c r="D42" s="144">
        <v>679</v>
      </c>
      <c r="E42" s="144">
        <v>1989</v>
      </c>
      <c r="F42" s="144">
        <v>3279</v>
      </c>
      <c r="G42" s="144">
        <v>4064</v>
      </c>
      <c r="H42" s="220">
        <f t="shared" si="0"/>
        <v>10011</v>
      </c>
      <c r="I42" s="158"/>
    </row>
    <row r="43" spans="1:9" ht="11.85" customHeight="1">
      <c r="A43" s="308"/>
      <c r="B43" s="164" t="s">
        <v>71</v>
      </c>
      <c r="C43" s="174"/>
      <c r="D43" s="116">
        <v>435</v>
      </c>
      <c r="E43" s="116">
        <v>506</v>
      </c>
      <c r="F43" s="116">
        <v>5977</v>
      </c>
      <c r="G43" s="116">
        <v>2138</v>
      </c>
      <c r="H43" s="220">
        <f t="shared" si="0"/>
        <v>9056</v>
      </c>
      <c r="I43" s="158"/>
    </row>
    <row r="44" spans="1:9" ht="11.85" customHeight="1">
      <c r="A44" s="308"/>
      <c r="B44" s="164" t="s">
        <v>72</v>
      </c>
      <c r="C44" s="174"/>
      <c r="D44" s="116">
        <v>541</v>
      </c>
      <c r="E44" s="116">
        <v>507</v>
      </c>
      <c r="F44" s="116">
        <v>2426.0000000000005</v>
      </c>
      <c r="G44" s="116">
        <v>1911</v>
      </c>
      <c r="H44" s="220">
        <f t="shared" si="0"/>
        <v>5385</v>
      </c>
      <c r="I44" s="158"/>
    </row>
    <row r="45" spans="1:9" ht="11.85" customHeight="1">
      <c r="A45" s="308"/>
      <c r="B45" s="164" t="s">
        <v>73</v>
      </c>
      <c r="C45" s="174"/>
      <c r="D45" s="116">
        <v>813</v>
      </c>
      <c r="E45" s="116">
        <v>985</v>
      </c>
      <c r="F45" s="116">
        <v>7477</v>
      </c>
      <c r="G45" s="116">
        <v>4804</v>
      </c>
      <c r="H45" s="220">
        <f t="shared" si="0"/>
        <v>14079</v>
      </c>
      <c r="I45" s="158"/>
    </row>
    <row r="46" spans="1:9" ht="11.85" customHeight="1">
      <c r="A46" s="306"/>
      <c r="B46" s="152" t="s">
        <v>74</v>
      </c>
      <c r="C46" s="189"/>
      <c r="D46" s="149">
        <v>555.99999999999989</v>
      </c>
      <c r="E46" s="149">
        <v>390</v>
      </c>
      <c r="F46" s="149">
        <v>5759</v>
      </c>
      <c r="G46" s="149">
        <v>6177.9999999999991</v>
      </c>
      <c r="H46" s="223">
        <f t="shared" si="0"/>
        <v>12883</v>
      </c>
      <c r="I46" s="158"/>
    </row>
    <row r="47" spans="1:9" ht="11.85" customHeight="1">
      <c r="A47" s="304" t="s">
        <v>141</v>
      </c>
      <c r="B47" s="111" t="s">
        <v>63</v>
      </c>
      <c r="C47" s="173"/>
      <c r="D47" s="190">
        <v>703.00000000000011</v>
      </c>
      <c r="E47" s="190">
        <v>1060</v>
      </c>
      <c r="F47" s="190">
        <v>6091</v>
      </c>
      <c r="G47" s="190">
        <v>2850</v>
      </c>
      <c r="H47" s="215">
        <f t="shared" si="0"/>
        <v>10704</v>
      </c>
      <c r="I47" s="158"/>
    </row>
    <row r="48" spans="1:9" ht="11.85" customHeight="1">
      <c r="A48" s="308"/>
      <c r="B48" s="115" t="s">
        <v>64</v>
      </c>
      <c r="C48" s="174"/>
      <c r="D48" s="144">
        <v>492</v>
      </c>
      <c r="E48" s="144">
        <v>375</v>
      </c>
      <c r="F48" s="144">
        <v>4936.9999999999991</v>
      </c>
      <c r="G48" s="144">
        <v>2003</v>
      </c>
      <c r="H48" s="220">
        <f t="shared" si="0"/>
        <v>7806.9999999999991</v>
      </c>
      <c r="I48" s="158"/>
    </row>
    <row r="49" spans="1:12" ht="11.85" customHeight="1">
      <c r="A49" s="309"/>
      <c r="B49" s="164" t="s">
        <v>65</v>
      </c>
      <c r="C49" s="174"/>
      <c r="D49" s="116">
        <v>851</v>
      </c>
      <c r="E49" s="116">
        <v>397</v>
      </c>
      <c r="F49" s="116">
        <v>4198</v>
      </c>
      <c r="G49" s="116">
        <v>1188.9999999999998</v>
      </c>
      <c r="H49" s="220">
        <f t="shared" si="0"/>
        <v>6635</v>
      </c>
      <c r="I49" s="158"/>
    </row>
    <row r="50" spans="1:12" ht="11.85" customHeight="1">
      <c r="A50" s="310"/>
      <c r="B50" s="115" t="s">
        <v>66</v>
      </c>
      <c r="C50" s="174"/>
      <c r="D50" s="116">
        <v>930</v>
      </c>
      <c r="E50" s="116">
        <v>742</v>
      </c>
      <c r="F50" s="116">
        <v>3118</v>
      </c>
      <c r="G50" s="116">
        <v>4279</v>
      </c>
      <c r="H50" s="220">
        <f t="shared" si="0"/>
        <v>9069</v>
      </c>
      <c r="I50" s="158"/>
    </row>
    <row r="51" spans="1:12" ht="11.85" customHeight="1">
      <c r="A51" s="308"/>
      <c r="B51" s="115" t="s">
        <v>67</v>
      </c>
      <c r="C51" s="174"/>
      <c r="D51" s="116">
        <v>735.00000000000011</v>
      </c>
      <c r="E51" s="116">
        <v>1072</v>
      </c>
      <c r="F51" s="116">
        <v>8431.0000000000018</v>
      </c>
      <c r="G51" s="116">
        <v>6231</v>
      </c>
      <c r="H51" s="220">
        <f t="shared" si="0"/>
        <v>16469</v>
      </c>
      <c r="I51" s="158"/>
    </row>
    <row r="52" spans="1:12" ht="11.85" customHeight="1">
      <c r="A52" s="309"/>
      <c r="B52" s="164" t="s">
        <v>68</v>
      </c>
      <c r="C52" s="174"/>
      <c r="D52" s="116">
        <v>665</v>
      </c>
      <c r="E52" s="116">
        <v>1111.9999999999998</v>
      </c>
      <c r="F52" s="116">
        <v>1971.9999999999998</v>
      </c>
      <c r="G52" s="116">
        <v>3742</v>
      </c>
      <c r="H52" s="220">
        <f t="shared" si="0"/>
        <v>7491</v>
      </c>
      <c r="I52" s="158"/>
    </row>
    <row r="53" spans="1:12" ht="11.85" customHeight="1">
      <c r="A53" s="309"/>
      <c r="B53" s="115" t="s">
        <v>69</v>
      </c>
      <c r="C53" s="174"/>
      <c r="D53" s="116">
        <v>716</v>
      </c>
      <c r="E53" s="116">
        <v>1366</v>
      </c>
      <c r="F53" s="116">
        <v>4703</v>
      </c>
      <c r="G53" s="116">
        <v>4299</v>
      </c>
      <c r="H53" s="220">
        <f t="shared" si="0"/>
        <v>11084</v>
      </c>
      <c r="I53" s="158"/>
    </row>
    <row r="54" spans="1:12" ht="11.85" customHeight="1">
      <c r="A54" s="308"/>
      <c r="B54" s="115" t="s">
        <v>70</v>
      </c>
      <c r="C54" s="174"/>
      <c r="D54" s="144">
        <v>535</v>
      </c>
      <c r="E54" s="144">
        <v>769</v>
      </c>
      <c r="F54" s="144">
        <v>1757.0000000000002</v>
      </c>
      <c r="G54" s="144">
        <v>3336.9999999999995</v>
      </c>
      <c r="H54" s="220">
        <f t="shared" si="0"/>
        <v>6398</v>
      </c>
      <c r="I54" s="158"/>
    </row>
    <row r="55" spans="1:12" ht="11.85" customHeight="1">
      <c r="A55" s="308"/>
      <c r="B55" s="164" t="s">
        <v>71</v>
      </c>
      <c r="C55" s="174"/>
      <c r="D55" s="116">
        <v>620.00000000000011</v>
      </c>
      <c r="E55" s="116">
        <v>357</v>
      </c>
      <c r="F55" s="116">
        <v>3746.0000000000005</v>
      </c>
      <c r="G55" s="116">
        <v>2102.9999999999995</v>
      </c>
      <c r="H55" s="220">
        <f t="shared" si="0"/>
        <v>6826</v>
      </c>
      <c r="I55" s="158"/>
    </row>
    <row r="56" spans="1:12" ht="11.85" customHeight="1">
      <c r="A56" s="308"/>
      <c r="B56" s="164" t="s">
        <v>72</v>
      </c>
      <c r="C56" s="174"/>
      <c r="D56" s="116">
        <v>635</v>
      </c>
      <c r="E56" s="116">
        <v>1242</v>
      </c>
      <c r="F56" s="116">
        <v>9105</v>
      </c>
      <c r="G56" s="116">
        <v>2897.9999999999995</v>
      </c>
      <c r="H56" s="220">
        <f t="shared" si="0"/>
        <v>13880</v>
      </c>
      <c r="I56" s="158"/>
    </row>
    <row r="57" spans="1:12" ht="11.85" customHeight="1">
      <c r="A57" s="308"/>
      <c r="B57" s="164" t="s">
        <v>73</v>
      </c>
      <c r="C57" s="174"/>
      <c r="D57" s="116">
        <v>344</v>
      </c>
      <c r="E57" s="116">
        <v>971.00000000000011</v>
      </c>
      <c r="F57" s="116">
        <v>6891</v>
      </c>
      <c r="G57" s="116">
        <v>4612</v>
      </c>
      <c r="H57" s="220">
        <f t="shared" si="0"/>
        <v>12818</v>
      </c>
      <c r="I57" s="158"/>
    </row>
    <row r="58" spans="1:12" ht="11.85" customHeight="1" thickBot="1">
      <c r="A58" s="311"/>
      <c r="B58" s="166" t="s">
        <v>74</v>
      </c>
      <c r="C58" s="176"/>
      <c r="D58" s="146">
        <v>804.99999999999989</v>
      </c>
      <c r="E58" s="146">
        <v>492</v>
      </c>
      <c r="F58" s="146">
        <v>8878</v>
      </c>
      <c r="G58" s="146">
        <v>4022.0000000000005</v>
      </c>
      <c r="H58" s="222">
        <f t="shared" si="0"/>
        <v>14197</v>
      </c>
      <c r="I58" s="158"/>
    </row>
    <row r="59" spans="1:12" s="10" customFormat="1" ht="12" customHeight="1">
      <c r="A59" s="53" t="str">
        <f>Titles!$A$12</f>
        <v>1 Data for 2020 and 2021 based on 2016 Census Definitions.</v>
      </c>
      <c r="B59" s="87"/>
      <c r="C59" s="408"/>
      <c r="D59" s="360"/>
      <c r="E59" s="54"/>
      <c r="F59" s="360"/>
      <c r="G59" s="360"/>
      <c r="H59" s="409"/>
      <c r="I59" s="240"/>
      <c r="J59" s="240"/>
      <c r="K59" s="341"/>
      <c r="L59" s="11"/>
    </row>
    <row r="60" spans="1:12" s="12" customFormat="1" ht="12">
      <c r="A60" s="402" t="s">
        <v>118</v>
      </c>
      <c r="B60" s="348"/>
      <c r="C60" s="348"/>
      <c r="D60" s="348"/>
      <c r="E60" s="401"/>
      <c r="F60" s="346"/>
      <c r="G60" s="346"/>
      <c r="H60" s="346"/>
      <c r="I60" s="79"/>
    </row>
    <row r="61" spans="1:12" s="347" customFormat="1" ht="10.9" customHeight="1">
      <c r="A61" s="361" t="str">
        <f>Titles!$A$10</f>
        <v>Source: CMHC Starts and Completion Survey, Market Absorption Survey</v>
      </c>
      <c r="B61" s="348"/>
      <c r="C61" s="348"/>
      <c r="D61" s="348"/>
      <c r="E61" s="362"/>
      <c r="F61" s="348"/>
      <c r="G61" s="348"/>
      <c r="H61" s="348"/>
    </row>
    <row r="62" spans="1:12" s="347" customFormat="1" ht="10.9" customHeight="1">
      <c r="A62" s="361"/>
      <c r="B62" s="179"/>
      <c r="C62" s="179"/>
      <c r="D62" s="179"/>
      <c r="E62" s="179"/>
      <c r="F62" s="362"/>
      <c r="G62" s="179"/>
      <c r="H62" s="179"/>
    </row>
    <row r="63" spans="1:12" s="403" customFormat="1" ht="10.9" customHeight="1"/>
    <row r="64" spans="1:12" ht="9.75" customHeight="1"/>
  </sheetData>
  <phoneticPr fontId="11" type="noConversion"/>
  <pageMargins left="0.78740157480314965" right="0.51181102362204722" top="0.51181102362204722" bottom="0.51181102362204722" header="0.51181102362204722" footer="0.51181102362204722"/>
  <pageSetup scale="98" orientation="portrait" r:id="rId1"/>
  <headerFooter alignWithMargins="0"/>
  <ignoredErrors>
    <ignoredError sqref="I11:IV11 B11" numberStoredAsText="1"/>
    <ignoredError sqref="H23:H58" unlocked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63"/>
  <sheetViews>
    <sheetView showGridLines="0" zoomScaleNormal="100" workbookViewId="0"/>
  </sheetViews>
  <sheetFormatPr defaultColWidth="11.5546875" defaultRowHeight="12"/>
  <cols>
    <col min="1" max="1" width="7.77734375" style="313" customWidth="1"/>
    <col min="2" max="3" width="9.77734375" style="12" customWidth="1"/>
    <col min="4" max="7" width="11.77734375" style="12" customWidth="1"/>
    <col min="8" max="16384" width="11.5546875" style="12"/>
  </cols>
  <sheetData>
    <row r="1" spans="1:8" s="185" customFormat="1" ht="15.95" customHeight="1">
      <c r="A1" s="493" t="s">
        <v>148</v>
      </c>
      <c r="B1" s="494"/>
      <c r="C1" s="494"/>
      <c r="D1" s="494"/>
      <c r="E1" s="494"/>
      <c r="F1" s="494"/>
      <c r="G1" s="495"/>
      <c r="H1" s="184"/>
    </row>
    <row r="2" spans="1:8" s="185" customFormat="1" ht="15.95" customHeight="1">
      <c r="A2" s="496" t="s">
        <v>165</v>
      </c>
      <c r="B2" s="497"/>
      <c r="C2" s="497"/>
      <c r="D2" s="497"/>
      <c r="E2" s="497"/>
      <c r="F2" s="497"/>
      <c r="G2" s="498"/>
      <c r="H2" s="184"/>
    </row>
    <row r="3" spans="1:8" s="185" customFormat="1" ht="15.95" customHeight="1">
      <c r="A3" s="499"/>
      <c r="B3" s="547"/>
      <c r="C3" s="547"/>
      <c r="D3" s="547"/>
      <c r="E3" s="547"/>
      <c r="F3" s="547"/>
      <c r="G3" s="548"/>
      <c r="H3" s="184"/>
    </row>
    <row r="4" spans="1:8" s="185" customFormat="1" ht="15.95" customHeight="1" thickBot="1">
      <c r="A4" s="502"/>
      <c r="B4" s="549"/>
      <c r="C4" s="549"/>
      <c r="D4" s="549"/>
      <c r="E4" s="549"/>
      <c r="F4" s="549"/>
      <c r="G4" s="550"/>
      <c r="H4" s="184"/>
    </row>
    <row r="5" spans="1:8">
      <c r="A5" s="305"/>
      <c r="B5" s="92"/>
      <c r="C5" s="124"/>
      <c r="D5" s="126"/>
      <c r="E5" s="126"/>
      <c r="F5" s="126"/>
      <c r="G5" s="105"/>
      <c r="H5" s="79"/>
    </row>
    <row r="6" spans="1:8">
      <c r="A6" s="306" t="s">
        <v>96</v>
      </c>
      <c r="B6" s="148"/>
      <c r="C6" s="155"/>
      <c r="D6" s="156" t="s">
        <v>84</v>
      </c>
      <c r="E6" s="156" t="s">
        <v>85</v>
      </c>
      <c r="F6" s="156" t="s">
        <v>86</v>
      </c>
      <c r="G6" s="157" t="s">
        <v>46</v>
      </c>
      <c r="H6" s="79"/>
    </row>
    <row r="7" spans="1:8" ht="12" customHeight="1">
      <c r="A7" s="137" t="s">
        <v>138</v>
      </c>
      <c r="B7" s="159"/>
      <c r="C7" s="191"/>
      <c r="D7" s="112">
        <v>5935</v>
      </c>
      <c r="E7" s="112">
        <v>2055</v>
      </c>
      <c r="F7" s="112">
        <v>25958</v>
      </c>
      <c r="G7" s="219">
        <v>33948</v>
      </c>
      <c r="H7" s="79"/>
    </row>
    <row r="8" spans="1:8" ht="12" customHeight="1">
      <c r="A8" s="85" t="s">
        <v>140</v>
      </c>
      <c r="B8" s="148"/>
      <c r="C8" s="119"/>
      <c r="D8" s="422">
        <v>6203</v>
      </c>
      <c r="E8" s="422">
        <v>2803</v>
      </c>
      <c r="F8" s="422">
        <v>23043</v>
      </c>
      <c r="G8" s="677">
        <v>32049</v>
      </c>
      <c r="H8" s="79"/>
    </row>
    <row r="9" spans="1:8" ht="11.85" customHeight="1">
      <c r="A9" s="304" t="s">
        <v>122</v>
      </c>
      <c r="B9" s="160" t="s">
        <v>59</v>
      </c>
      <c r="C9" s="169"/>
      <c r="D9" s="112">
        <v>5428</v>
      </c>
      <c r="E9" s="112">
        <v>1603</v>
      </c>
      <c r="F9" s="112">
        <v>19922</v>
      </c>
      <c r="G9" s="219">
        <v>26953</v>
      </c>
      <c r="H9" s="79"/>
    </row>
    <row r="10" spans="1:8" ht="11.85" customHeight="1">
      <c r="A10" s="308"/>
      <c r="B10" s="143" t="s">
        <v>60</v>
      </c>
      <c r="C10" s="170"/>
      <c r="D10" s="144">
        <v>7613.9999999999991</v>
      </c>
      <c r="E10" s="144">
        <v>1949.9999999999998</v>
      </c>
      <c r="F10" s="144">
        <v>24734</v>
      </c>
      <c r="G10" s="220">
        <v>34298</v>
      </c>
      <c r="H10" s="79"/>
    </row>
    <row r="11" spans="1:8" ht="11.85" customHeight="1">
      <c r="A11" s="308"/>
      <c r="B11" s="143" t="s">
        <v>61</v>
      </c>
      <c r="C11" s="170"/>
      <c r="D11" s="144">
        <v>5201.0000000000009</v>
      </c>
      <c r="E11" s="144">
        <v>2506</v>
      </c>
      <c r="F11" s="144">
        <v>30175</v>
      </c>
      <c r="G11" s="220">
        <v>37882.000000000007</v>
      </c>
      <c r="H11" s="79"/>
    </row>
    <row r="12" spans="1:8" ht="11.85" customHeight="1">
      <c r="A12" s="306"/>
      <c r="B12" s="161" t="s">
        <v>62</v>
      </c>
      <c r="C12" s="188"/>
      <c r="D12" s="144">
        <v>5526</v>
      </c>
      <c r="E12" s="144">
        <v>2132</v>
      </c>
      <c r="F12" s="144">
        <v>28593.999999999996</v>
      </c>
      <c r="G12" s="220">
        <v>36251.999999999993</v>
      </c>
      <c r="H12" s="79"/>
    </row>
    <row r="13" spans="1:8" ht="11.85" customHeight="1">
      <c r="A13" s="304" t="s">
        <v>129</v>
      </c>
      <c r="B13" s="160" t="s">
        <v>59</v>
      </c>
      <c r="C13" s="169"/>
      <c r="D13" s="112">
        <v>5319</v>
      </c>
      <c r="E13" s="112">
        <v>2314</v>
      </c>
      <c r="F13" s="112">
        <v>23534</v>
      </c>
      <c r="G13" s="219">
        <v>31166.999999999996</v>
      </c>
      <c r="H13" s="79"/>
    </row>
    <row r="14" spans="1:8" ht="11.85" customHeight="1">
      <c r="A14" s="308"/>
      <c r="B14" s="143" t="s">
        <v>60</v>
      </c>
      <c r="C14" s="170"/>
      <c r="D14" s="144">
        <v>5637</v>
      </c>
      <c r="E14" s="144">
        <v>2053</v>
      </c>
      <c r="F14" s="144">
        <v>18174</v>
      </c>
      <c r="G14" s="220">
        <v>25864</v>
      </c>
      <c r="H14" s="79"/>
    </row>
    <row r="15" spans="1:8" ht="11.85" customHeight="1">
      <c r="A15" s="308"/>
      <c r="B15" s="143" t="s">
        <v>61</v>
      </c>
      <c r="C15" s="170"/>
      <c r="D15" s="144">
        <v>4793</v>
      </c>
      <c r="E15" s="144">
        <v>4009.0000000000005</v>
      </c>
      <c r="F15" s="144">
        <v>22619.999999999996</v>
      </c>
      <c r="G15" s="220">
        <v>31421.999999999996</v>
      </c>
      <c r="H15" s="79"/>
    </row>
    <row r="16" spans="1:8" ht="11.85" customHeight="1">
      <c r="A16" s="306"/>
      <c r="B16" s="161" t="s">
        <v>62</v>
      </c>
      <c r="C16" s="188"/>
      <c r="D16" s="144">
        <v>9187</v>
      </c>
      <c r="E16" s="144">
        <v>2773</v>
      </c>
      <c r="F16" s="144">
        <v>28741</v>
      </c>
      <c r="G16" s="220">
        <v>40701</v>
      </c>
      <c r="H16" s="79"/>
    </row>
    <row r="17" spans="1:8" ht="11.85" customHeight="1">
      <c r="A17" s="304" t="s">
        <v>141</v>
      </c>
      <c r="B17" s="160" t="s">
        <v>59</v>
      </c>
      <c r="C17" s="169"/>
      <c r="D17" s="112">
        <v>6565</v>
      </c>
      <c r="E17" s="112">
        <v>4463</v>
      </c>
      <c r="F17" s="112">
        <v>26877.000000000004</v>
      </c>
      <c r="G17" s="219">
        <v>37905</v>
      </c>
      <c r="H17" s="79"/>
    </row>
    <row r="18" spans="1:8" ht="11.85" customHeight="1">
      <c r="A18" s="308"/>
      <c r="B18" s="143" t="s">
        <v>60</v>
      </c>
      <c r="C18" s="170"/>
      <c r="D18" s="144">
        <v>6967.0000000000009</v>
      </c>
      <c r="E18" s="144">
        <v>4261</v>
      </c>
      <c r="F18" s="144">
        <v>31446</v>
      </c>
      <c r="G18" s="220">
        <v>42674.000000000007</v>
      </c>
      <c r="H18" s="79"/>
    </row>
    <row r="19" spans="1:8" ht="11.85" customHeight="1">
      <c r="A19" s="308"/>
      <c r="B19" s="143" t="s">
        <v>61</v>
      </c>
      <c r="C19" s="170"/>
      <c r="D19" s="144">
        <v>7093.9999999999991</v>
      </c>
      <c r="E19" s="144">
        <v>3523</v>
      </c>
      <c r="F19" s="144">
        <v>28863.999999999996</v>
      </c>
      <c r="G19" s="220">
        <v>39480.999999999993</v>
      </c>
      <c r="H19" s="79"/>
    </row>
    <row r="20" spans="1:8" ht="11.85" customHeight="1">
      <c r="A20" s="306"/>
      <c r="B20" s="161" t="s">
        <v>62</v>
      </c>
      <c r="C20" s="188"/>
      <c r="D20" s="144">
        <v>5727</v>
      </c>
      <c r="E20" s="144">
        <v>2875</v>
      </c>
      <c r="F20" s="144">
        <v>35147</v>
      </c>
      <c r="G20" s="223">
        <v>43748.999999999993</v>
      </c>
      <c r="H20" s="79"/>
    </row>
    <row r="21" spans="1:8" ht="11.85" customHeight="1">
      <c r="A21" s="304" t="s">
        <v>122</v>
      </c>
      <c r="B21" s="111" t="s">
        <v>63</v>
      </c>
      <c r="C21" s="173"/>
      <c r="D21" s="190">
        <v>6129</v>
      </c>
      <c r="E21" s="190">
        <v>2016</v>
      </c>
      <c r="F21" s="190">
        <v>22618.000000000004</v>
      </c>
      <c r="G21" s="215">
        <f>IF(SUM(B21:F21)=0,"",SUM(B21:F21))</f>
        <v>30763.000000000004</v>
      </c>
      <c r="H21" s="79"/>
    </row>
    <row r="22" spans="1:8" ht="11.85" customHeight="1">
      <c r="A22" s="308"/>
      <c r="B22" s="115" t="s">
        <v>64</v>
      </c>
      <c r="C22" s="174"/>
      <c r="D22" s="144">
        <v>4909.0000000000009</v>
      </c>
      <c r="E22" s="144">
        <v>1181</v>
      </c>
      <c r="F22" s="144">
        <v>18281</v>
      </c>
      <c r="G22" s="220">
        <f t="shared" ref="G22:G56" si="0">IF(SUM(B22:F22)=0,"",SUM(B22:F22))</f>
        <v>24371</v>
      </c>
      <c r="H22" s="79"/>
    </row>
    <row r="23" spans="1:8" ht="11.85" customHeight="1">
      <c r="A23" s="309"/>
      <c r="B23" s="164" t="s">
        <v>65</v>
      </c>
      <c r="C23" s="174"/>
      <c r="D23" s="116">
        <v>5020</v>
      </c>
      <c r="E23" s="116">
        <v>1424</v>
      </c>
      <c r="F23" s="116">
        <v>17325</v>
      </c>
      <c r="G23" s="220">
        <f t="shared" si="0"/>
        <v>23769</v>
      </c>
      <c r="H23" s="79"/>
    </row>
    <row r="24" spans="1:8" ht="11.85" customHeight="1">
      <c r="A24" s="310"/>
      <c r="B24" s="115" t="s">
        <v>66</v>
      </c>
      <c r="C24" s="174"/>
      <c r="D24" s="116">
        <v>5710</v>
      </c>
      <c r="E24" s="116">
        <v>1325.0000000000002</v>
      </c>
      <c r="F24" s="116">
        <v>24426.000000000004</v>
      </c>
      <c r="G24" s="220">
        <f t="shared" si="0"/>
        <v>31461.000000000004</v>
      </c>
      <c r="H24" s="79"/>
    </row>
    <row r="25" spans="1:8" ht="11.85" customHeight="1">
      <c r="A25" s="308"/>
      <c r="B25" s="115" t="s">
        <v>67</v>
      </c>
      <c r="C25" s="174"/>
      <c r="D25" s="116">
        <v>8233</v>
      </c>
      <c r="E25" s="116">
        <v>2066</v>
      </c>
      <c r="F25" s="116">
        <v>21290</v>
      </c>
      <c r="G25" s="220">
        <f t="shared" si="0"/>
        <v>31589</v>
      </c>
      <c r="H25" s="79"/>
    </row>
    <row r="26" spans="1:8" ht="11.85" customHeight="1">
      <c r="A26" s="309"/>
      <c r="B26" s="164" t="s">
        <v>68</v>
      </c>
      <c r="C26" s="174"/>
      <c r="D26" s="116">
        <v>9036.0000000000018</v>
      </c>
      <c r="E26" s="116">
        <v>2697</v>
      </c>
      <c r="F26" s="116">
        <v>30698</v>
      </c>
      <c r="G26" s="220">
        <f t="shared" si="0"/>
        <v>42431</v>
      </c>
      <c r="H26" s="79"/>
    </row>
    <row r="27" spans="1:8" ht="11.85" customHeight="1">
      <c r="A27" s="309"/>
      <c r="B27" s="115" t="s">
        <v>69</v>
      </c>
      <c r="C27" s="174"/>
      <c r="D27" s="116">
        <v>5939</v>
      </c>
      <c r="E27" s="116">
        <v>1183</v>
      </c>
      <c r="F27" s="116">
        <v>28563.000000000004</v>
      </c>
      <c r="G27" s="220">
        <f t="shared" si="0"/>
        <v>35685</v>
      </c>
      <c r="H27" s="79"/>
    </row>
    <row r="28" spans="1:8" ht="11.85" customHeight="1">
      <c r="A28" s="308"/>
      <c r="B28" s="115" t="s">
        <v>70</v>
      </c>
      <c r="C28" s="174"/>
      <c r="D28" s="144">
        <v>5714</v>
      </c>
      <c r="E28" s="144">
        <v>2791</v>
      </c>
      <c r="F28" s="144">
        <v>29363</v>
      </c>
      <c r="G28" s="220">
        <f t="shared" si="0"/>
        <v>37868</v>
      </c>
      <c r="H28" s="79"/>
    </row>
    <row r="29" spans="1:8" ht="11.85" customHeight="1">
      <c r="A29" s="308"/>
      <c r="B29" s="164" t="s">
        <v>71</v>
      </c>
      <c r="C29" s="174"/>
      <c r="D29" s="116">
        <v>3849</v>
      </c>
      <c r="E29" s="116">
        <v>3573</v>
      </c>
      <c r="F29" s="116">
        <v>32171</v>
      </c>
      <c r="G29" s="220">
        <f t="shared" si="0"/>
        <v>39593</v>
      </c>
      <c r="H29" s="79"/>
    </row>
    <row r="30" spans="1:8" ht="11.85" customHeight="1">
      <c r="A30" s="308"/>
      <c r="B30" s="164" t="s">
        <v>72</v>
      </c>
      <c r="C30" s="174"/>
      <c r="D30" s="116">
        <v>6686.9999999999991</v>
      </c>
      <c r="E30" s="116">
        <v>2304.0000000000005</v>
      </c>
      <c r="F30" s="116">
        <v>22923</v>
      </c>
      <c r="G30" s="220">
        <f t="shared" si="0"/>
        <v>31914</v>
      </c>
      <c r="H30" s="79"/>
    </row>
    <row r="31" spans="1:8" ht="11.85" customHeight="1">
      <c r="A31" s="308"/>
      <c r="B31" s="164" t="s">
        <v>73</v>
      </c>
      <c r="C31" s="174"/>
      <c r="D31" s="116">
        <v>5401</v>
      </c>
      <c r="E31" s="116">
        <v>1842</v>
      </c>
      <c r="F31" s="116">
        <v>25048</v>
      </c>
      <c r="G31" s="220">
        <f t="shared" si="0"/>
        <v>32291</v>
      </c>
      <c r="H31" s="79"/>
    </row>
    <row r="32" spans="1:8" ht="11.85" customHeight="1">
      <c r="A32" s="306"/>
      <c r="B32" s="152" t="s">
        <v>74</v>
      </c>
      <c r="C32" s="189"/>
      <c r="D32" s="149">
        <v>4638</v>
      </c>
      <c r="E32" s="149">
        <v>2206</v>
      </c>
      <c r="F32" s="149">
        <v>37272.999999999993</v>
      </c>
      <c r="G32" s="223">
        <f t="shared" si="0"/>
        <v>44116.999999999993</v>
      </c>
      <c r="H32" s="79"/>
    </row>
    <row r="33" spans="1:8" ht="11.85" customHeight="1">
      <c r="A33" s="304" t="s">
        <v>129</v>
      </c>
      <c r="B33" s="111" t="s">
        <v>63</v>
      </c>
      <c r="C33" s="173"/>
      <c r="D33" s="190">
        <v>6500</v>
      </c>
      <c r="E33" s="190">
        <v>3274</v>
      </c>
      <c r="F33" s="190">
        <v>19535</v>
      </c>
      <c r="G33" s="215">
        <f t="shared" si="0"/>
        <v>29309</v>
      </c>
      <c r="H33" s="79"/>
    </row>
    <row r="34" spans="1:8" ht="11.85" customHeight="1">
      <c r="A34" s="308"/>
      <c r="B34" s="115" t="s">
        <v>64</v>
      </c>
      <c r="C34" s="174"/>
      <c r="D34" s="144">
        <v>4468</v>
      </c>
      <c r="E34" s="144">
        <v>1904.9999999999998</v>
      </c>
      <c r="F34" s="144">
        <v>18308</v>
      </c>
      <c r="G34" s="220">
        <f t="shared" si="0"/>
        <v>24681</v>
      </c>
      <c r="H34" s="79"/>
    </row>
    <row r="35" spans="1:8" ht="11.85" customHeight="1">
      <c r="A35" s="309"/>
      <c r="B35" s="164" t="s">
        <v>65</v>
      </c>
      <c r="C35" s="174"/>
      <c r="D35" s="116">
        <v>4810.0000000000009</v>
      </c>
      <c r="E35" s="116">
        <v>1622</v>
      </c>
      <c r="F35" s="116">
        <v>31352</v>
      </c>
      <c r="G35" s="220">
        <f t="shared" si="0"/>
        <v>37784</v>
      </c>
      <c r="H35" s="79"/>
    </row>
    <row r="36" spans="1:8" ht="11.85" customHeight="1">
      <c r="A36" s="310"/>
      <c r="B36" s="115" t="s">
        <v>66</v>
      </c>
      <c r="C36" s="174"/>
      <c r="D36" s="116">
        <v>6340</v>
      </c>
      <c r="E36" s="116">
        <v>2296.9999999999995</v>
      </c>
      <c r="F36" s="116">
        <v>22898.000000000004</v>
      </c>
      <c r="G36" s="220">
        <f t="shared" si="0"/>
        <v>31535.000000000004</v>
      </c>
      <c r="H36" s="79"/>
    </row>
    <row r="37" spans="1:8" ht="11.85" customHeight="1">
      <c r="A37" s="308"/>
      <c r="B37" s="115" t="s">
        <v>67</v>
      </c>
      <c r="C37" s="174"/>
      <c r="D37" s="116">
        <v>3705</v>
      </c>
      <c r="E37" s="116">
        <v>1800.0000000000002</v>
      </c>
      <c r="F37" s="116">
        <v>18409.000000000004</v>
      </c>
      <c r="G37" s="220">
        <f t="shared" si="0"/>
        <v>23914.000000000004</v>
      </c>
      <c r="H37" s="79"/>
    </row>
    <row r="38" spans="1:8" ht="11.85" customHeight="1">
      <c r="A38" s="309"/>
      <c r="B38" s="164" t="s">
        <v>68</v>
      </c>
      <c r="C38" s="174"/>
      <c r="D38" s="116">
        <v>6995</v>
      </c>
      <c r="E38" s="116">
        <v>2386.9999999999995</v>
      </c>
      <c r="F38" s="116">
        <v>14677.000000000002</v>
      </c>
      <c r="G38" s="220">
        <f t="shared" si="0"/>
        <v>24059</v>
      </c>
      <c r="H38" s="79"/>
    </row>
    <row r="39" spans="1:8" ht="11.85" customHeight="1">
      <c r="A39" s="309"/>
      <c r="B39" s="115" t="s">
        <v>69</v>
      </c>
      <c r="C39" s="174"/>
      <c r="D39" s="116">
        <v>6380</v>
      </c>
      <c r="E39" s="116">
        <v>7930</v>
      </c>
      <c r="F39" s="116">
        <v>22316</v>
      </c>
      <c r="G39" s="220">
        <f t="shared" si="0"/>
        <v>36626</v>
      </c>
      <c r="H39" s="79"/>
    </row>
    <row r="40" spans="1:8" ht="11.85" customHeight="1">
      <c r="A40" s="308"/>
      <c r="B40" s="115" t="s">
        <v>70</v>
      </c>
      <c r="C40" s="174"/>
      <c r="D40" s="144">
        <v>4564</v>
      </c>
      <c r="E40" s="144">
        <v>2385.0000000000005</v>
      </c>
      <c r="F40" s="144">
        <v>19652</v>
      </c>
      <c r="G40" s="220">
        <f t="shared" si="0"/>
        <v>26601</v>
      </c>
      <c r="H40" s="79"/>
    </row>
    <row r="41" spans="1:8" ht="11.85" customHeight="1">
      <c r="A41" s="308"/>
      <c r="B41" s="164" t="s">
        <v>71</v>
      </c>
      <c r="C41" s="174"/>
      <c r="D41" s="116">
        <v>3389</v>
      </c>
      <c r="E41" s="116">
        <v>1665</v>
      </c>
      <c r="F41" s="116">
        <v>25322.000000000004</v>
      </c>
      <c r="G41" s="220">
        <f t="shared" si="0"/>
        <v>30376.000000000004</v>
      </c>
      <c r="H41" s="79"/>
    </row>
    <row r="42" spans="1:8" ht="11.85" customHeight="1">
      <c r="A42" s="308"/>
      <c r="B42" s="164" t="s">
        <v>72</v>
      </c>
      <c r="C42" s="174"/>
      <c r="D42" s="116">
        <v>9884</v>
      </c>
      <c r="E42" s="116">
        <v>2074.0000000000005</v>
      </c>
      <c r="F42" s="116">
        <v>31366</v>
      </c>
      <c r="G42" s="220">
        <f t="shared" si="0"/>
        <v>43324</v>
      </c>
      <c r="H42" s="79"/>
    </row>
    <row r="43" spans="1:8" ht="11.85" customHeight="1">
      <c r="A43" s="308"/>
      <c r="B43" s="164" t="s">
        <v>73</v>
      </c>
      <c r="C43" s="174"/>
      <c r="D43" s="116">
        <v>11405.000000000002</v>
      </c>
      <c r="E43" s="116">
        <v>3221</v>
      </c>
      <c r="F43" s="116">
        <v>25336</v>
      </c>
      <c r="G43" s="220">
        <f t="shared" si="0"/>
        <v>39962</v>
      </c>
      <c r="H43" s="79"/>
    </row>
    <row r="44" spans="1:8" ht="11.85" customHeight="1">
      <c r="A44" s="306"/>
      <c r="B44" s="152" t="s">
        <v>74</v>
      </c>
      <c r="C44" s="189"/>
      <c r="D44" s="149">
        <v>6452</v>
      </c>
      <c r="E44" s="149">
        <v>2905.9999999999995</v>
      </c>
      <c r="F44" s="149">
        <v>29156</v>
      </c>
      <c r="G44" s="223">
        <f t="shared" si="0"/>
        <v>38514</v>
      </c>
      <c r="H44" s="79"/>
    </row>
    <row r="45" spans="1:8" ht="11.85" customHeight="1">
      <c r="A45" s="304" t="s">
        <v>141</v>
      </c>
      <c r="B45" s="111" t="s">
        <v>63</v>
      </c>
      <c r="C45" s="173"/>
      <c r="D45" s="190">
        <v>8512</v>
      </c>
      <c r="E45" s="190">
        <v>4202.9999999999991</v>
      </c>
      <c r="F45" s="190">
        <v>27698</v>
      </c>
      <c r="G45" s="215">
        <f t="shared" si="0"/>
        <v>40413</v>
      </c>
      <c r="H45" s="79"/>
    </row>
    <row r="46" spans="1:8" ht="11.85" customHeight="1">
      <c r="A46" s="308"/>
      <c r="B46" s="115" t="s">
        <v>64</v>
      </c>
      <c r="C46" s="174"/>
      <c r="D46" s="144">
        <v>6518.0000000000009</v>
      </c>
      <c r="E46" s="144">
        <v>3020</v>
      </c>
      <c r="F46" s="144">
        <v>24811</v>
      </c>
      <c r="G46" s="220">
        <f t="shared" si="0"/>
        <v>34349</v>
      </c>
      <c r="H46" s="79"/>
    </row>
    <row r="47" spans="1:8" ht="11.85" customHeight="1">
      <c r="A47" s="309"/>
      <c r="B47" s="164" t="s">
        <v>65</v>
      </c>
      <c r="C47" s="174"/>
      <c r="D47" s="116">
        <v>4352</v>
      </c>
      <c r="E47" s="116">
        <v>5702</v>
      </c>
      <c r="F47" s="116">
        <v>27769</v>
      </c>
      <c r="G47" s="220">
        <f t="shared" si="0"/>
        <v>37823</v>
      </c>
      <c r="H47" s="79"/>
    </row>
    <row r="48" spans="1:8" ht="11.85" customHeight="1">
      <c r="A48" s="310"/>
      <c r="B48" s="115" t="s">
        <v>66</v>
      </c>
      <c r="C48" s="174"/>
      <c r="D48" s="116">
        <v>5221.9999999999991</v>
      </c>
      <c r="E48" s="116">
        <v>4856.9999999999991</v>
      </c>
      <c r="F48" s="116">
        <v>32801</v>
      </c>
      <c r="G48" s="220">
        <f t="shared" si="0"/>
        <v>42880</v>
      </c>
      <c r="H48" s="79"/>
    </row>
    <row r="49" spans="1:12" ht="11.85" customHeight="1">
      <c r="A49" s="308"/>
      <c r="B49" s="115" t="s">
        <v>67</v>
      </c>
      <c r="C49" s="174"/>
      <c r="D49" s="116">
        <v>6596.9999999999991</v>
      </c>
      <c r="E49" s="116">
        <v>5173.9999999999991</v>
      </c>
      <c r="F49" s="116">
        <v>34656</v>
      </c>
      <c r="G49" s="220">
        <f t="shared" si="0"/>
        <v>46427</v>
      </c>
      <c r="H49" s="79"/>
    </row>
    <row r="50" spans="1:12" ht="11.85" customHeight="1">
      <c r="A50" s="309"/>
      <c r="B50" s="164" t="s">
        <v>68</v>
      </c>
      <c r="C50" s="174"/>
      <c r="D50" s="116">
        <v>9232</v>
      </c>
      <c r="E50" s="116">
        <v>3398</v>
      </c>
      <c r="F50" s="116">
        <v>28944</v>
      </c>
      <c r="G50" s="220">
        <f t="shared" si="0"/>
        <v>41574</v>
      </c>
      <c r="H50" s="79"/>
    </row>
    <row r="51" spans="1:12" ht="11.85" customHeight="1">
      <c r="A51" s="309"/>
      <c r="B51" s="115" t="s">
        <v>69</v>
      </c>
      <c r="C51" s="174"/>
      <c r="D51" s="116">
        <v>6099</v>
      </c>
      <c r="E51" s="116">
        <v>2158</v>
      </c>
      <c r="F51" s="116">
        <v>30479</v>
      </c>
      <c r="G51" s="220">
        <f t="shared" si="0"/>
        <v>38736</v>
      </c>
      <c r="H51" s="79"/>
    </row>
    <row r="52" spans="1:12" ht="11.85" customHeight="1">
      <c r="A52" s="308"/>
      <c r="B52" s="115" t="s">
        <v>70</v>
      </c>
      <c r="C52" s="174"/>
      <c r="D52" s="144">
        <v>6415.9999999999991</v>
      </c>
      <c r="E52" s="144">
        <v>1896</v>
      </c>
      <c r="F52" s="144">
        <v>29773.000000000004</v>
      </c>
      <c r="G52" s="220">
        <f t="shared" si="0"/>
        <v>38085</v>
      </c>
      <c r="H52" s="79"/>
    </row>
    <row r="53" spans="1:12" ht="11.85" customHeight="1">
      <c r="A53" s="308"/>
      <c r="B53" s="164" t="s">
        <v>71</v>
      </c>
      <c r="C53" s="174"/>
      <c r="D53" s="116">
        <v>8617</v>
      </c>
      <c r="E53" s="116">
        <v>6445</v>
      </c>
      <c r="F53" s="116">
        <v>25031.000000000004</v>
      </c>
      <c r="G53" s="220">
        <f t="shared" si="0"/>
        <v>40093</v>
      </c>
      <c r="H53" s="79"/>
    </row>
    <row r="54" spans="1:12" ht="11.85" customHeight="1">
      <c r="A54" s="308"/>
      <c r="B54" s="164" t="s">
        <v>72</v>
      </c>
      <c r="C54" s="174"/>
      <c r="D54" s="116">
        <v>4485</v>
      </c>
      <c r="E54" s="116">
        <v>2290.9999999999995</v>
      </c>
      <c r="F54" s="116">
        <v>35027</v>
      </c>
      <c r="G54" s="220">
        <f t="shared" si="0"/>
        <v>41803</v>
      </c>
      <c r="H54" s="79"/>
    </row>
    <row r="55" spans="1:12" ht="11.85" customHeight="1">
      <c r="A55" s="308"/>
      <c r="B55" s="164" t="s">
        <v>73</v>
      </c>
      <c r="C55" s="174"/>
      <c r="D55" s="116">
        <v>5826</v>
      </c>
      <c r="E55" s="116">
        <v>3481</v>
      </c>
      <c r="F55" s="116">
        <v>40223</v>
      </c>
      <c r="G55" s="220">
        <f t="shared" si="0"/>
        <v>49530</v>
      </c>
      <c r="H55" s="79"/>
    </row>
    <row r="56" spans="1:12" ht="11.85" customHeight="1" thickBot="1">
      <c r="A56" s="311"/>
      <c r="B56" s="166" t="s">
        <v>74</v>
      </c>
      <c r="C56" s="176"/>
      <c r="D56" s="146">
        <v>7068</v>
      </c>
      <c r="E56" s="146">
        <v>2765</v>
      </c>
      <c r="F56" s="146">
        <v>29617</v>
      </c>
      <c r="G56" s="222">
        <f t="shared" si="0"/>
        <v>39450</v>
      </c>
      <c r="H56" s="79"/>
    </row>
    <row r="57" spans="1:12" s="10" customFormat="1" ht="12" customHeight="1">
      <c r="A57" s="53" t="str">
        <f>Titles!$A$12</f>
        <v>1 Data for 2020 and 2021 based on 2016 Census Definitions.</v>
      </c>
      <c r="B57" s="87"/>
      <c r="C57" s="408"/>
      <c r="D57" s="360"/>
      <c r="E57" s="54"/>
      <c r="F57" s="360"/>
      <c r="G57" s="360"/>
      <c r="H57" s="416"/>
      <c r="I57" s="240"/>
      <c r="J57" s="240"/>
      <c r="K57" s="341"/>
      <c r="L57" s="11"/>
    </row>
    <row r="58" spans="1:12">
      <c r="A58" s="402" t="s">
        <v>118</v>
      </c>
      <c r="B58" s="348"/>
      <c r="C58" s="348"/>
      <c r="D58" s="348"/>
      <c r="E58" s="401"/>
      <c r="F58" s="346"/>
      <c r="G58" s="346"/>
      <c r="H58" s="409"/>
      <c r="I58" s="79"/>
    </row>
    <row r="59" spans="1:12" s="347" customFormat="1" ht="10.9" customHeight="1">
      <c r="A59" s="361" t="str">
        <f>Titles!$A$10</f>
        <v>Source: CMHC Starts and Completion Survey, Market Absorption Survey</v>
      </c>
      <c r="B59" s="348"/>
      <c r="C59" s="348"/>
      <c r="D59" s="348"/>
      <c r="E59" s="362"/>
      <c r="F59" s="348"/>
      <c r="G59" s="348"/>
      <c r="H59" s="346"/>
    </row>
    <row r="60" spans="1:12" s="347" customFormat="1" ht="10.9" customHeight="1">
      <c r="H60" s="348"/>
    </row>
    <row r="61" spans="1:12" ht="12" customHeight="1">
      <c r="A61" s="53"/>
      <c r="B61" s="84"/>
      <c r="C61" s="408"/>
      <c r="D61" s="409"/>
      <c r="E61" s="409"/>
      <c r="F61" s="54"/>
      <c r="G61" s="93"/>
    </row>
    <row r="62" spans="1:12" ht="12" customHeight="1">
      <c r="A62" s="53"/>
      <c r="B62" s="178"/>
      <c r="C62" s="178"/>
      <c r="D62" s="178"/>
      <c r="E62" s="178"/>
      <c r="F62" s="54"/>
      <c r="G62" s="93"/>
    </row>
    <row r="63" spans="1:12" ht="9.75" customHeight="1">
      <c r="A63" s="94"/>
      <c r="B63" s="93"/>
      <c r="C63" s="93"/>
      <c r="D63" s="93"/>
      <c r="E63" s="177"/>
      <c r="F63" s="93"/>
      <c r="G63" s="93"/>
    </row>
  </sheetData>
  <phoneticPr fontId="11" type="noConversion"/>
  <pageMargins left="0.78740157480314965" right="0.51181102362204722" top="0.51181102362204722" bottom="0.51181102362204722" header="0.51181102362204722" footer="0.51181102362204722"/>
  <pageSetup orientation="portrait" r:id="rId1"/>
  <headerFooter alignWithMargins="0"/>
  <ignoredErrors>
    <ignoredError sqref="G21:G56" unlockedFormula="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62"/>
  <sheetViews>
    <sheetView showGridLines="0" zoomScaleNormal="100" workbookViewId="0"/>
  </sheetViews>
  <sheetFormatPr defaultColWidth="11.5546875" defaultRowHeight="12"/>
  <cols>
    <col min="1" max="1" width="8.77734375" style="12" customWidth="1"/>
    <col min="2" max="2" width="9.21875" style="12" customWidth="1"/>
    <col min="3" max="3" width="8.77734375" style="12" customWidth="1"/>
    <col min="4" max="8" width="9.77734375" style="12" customWidth="1"/>
    <col min="9" max="16384" width="11.5546875" style="12"/>
  </cols>
  <sheetData>
    <row r="1" spans="1:9" s="185" customFormat="1" ht="15.95" customHeight="1">
      <c r="A1" s="493" t="s">
        <v>149</v>
      </c>
      <c r="B1" s="494"/>
      <c r="C1" s="494"/>
      <c r="D1" s="494"/>
      <c r="E1" s="494"/>
      <c r="F1" s="494"/>
      <c r="G1" s="494"/>
      <c r="H1" s="495"/>
      <c r="I1" s="184"/>
    </row>
    <row r="2" spans="1:9" s="185" customFormat="1" ht="15.95" customHeight="1">
      <c r="A2" s="496" t="s">
        <v>166</v>
      </c>
      <c r="B2" s="497"/>
      <c r="C2" s="497"/>
      <c r="D2" s="497"/>
      <c r="E2" s="497"/>
      <c r="F2" s="497"/>
      <c r="G2" s="497"/>
      <c r="H2" s="498"/>
      <c r="I2" s="184"/>
    </row>
    <row r="3" spans="1:9" s="185" customFormat="1" ht="15.95" customHeight="1" thickBot="1">
      <c r="A3" s="502"/>
      <c r="B3" s="539"/>
      <c r="C3" s="539"/>
      <c r="D3" s="539"/>
      <c r="E3" s="539"/>
      <c r="F3" s="539"/>
      <c r="G3" s="539"/>
      <c r="H3" s="540"/>
      <c r="I3" s="184"/>
    </row>
    <row r="4" spans="1:9">
      <c r="A4" s="83"/>
      <c r="B4" s="92"/>
      <c r="C4" s="124"/>
      <c r="D4" s="126"/>
      <c r="E4" s="126"/>
      <c r="F4" s="126"/>
      <c r="G4" s="126"/>
      <c r="H4" s="105"/>
      <c r="I4" s="79"/>
    </row>
    <row r="5" spans="1:9">
      <c r="A5" s="154" t="s">
        <v>96</v>
      </c>
      <c r="B5" s="148"/>
      <c r="C5" s="155"/>
      <c r="D5" s="156" t="s">
        <v>105</v>
      </c>
      <c r="E5" s="156" t="s">
        <v>21</v>
      </c>
      <c r="F5" s="156" t="s">
        <v>26</v>
      </c>
      <c r="G5" s="156" t="s">
        <v>36</v>
      </c>
      <c r="H5" s="157" t="s">
        <v>35</v>
      </c>
      <c r="I5" s="79"/>
    </row>
    <row r="6" spans="1:9" ht="13.5">
      <c r="A6" s="137" t="s">
        <v>138</v>
      </c>
      <c r="B6" s="186"/>
      <c r="C6" s="191"/>
      <c r="D6" s="198">
        <v>480</v>
      </c>
      <c r="E6" s="198">
        <v>3143</v>
      </c>
      <c r="F6" s="198">
        <v>1242</v>
      </c>
      <c r="G6" s="198">
        <v>381</v>
      </c>
      <c r="H6" s="226">
        <v>452</v>
      </c>
      <c r="I6" s="79"/>
    </row>
    <row r="7" spans="1:9" ht="13.5">
      <c r="A7" s="85" t="s">
        <v>140</v>
      </c>
      <c r="B7" s="152"/>
      <c r="C7" s="119"/>
      <c r="D7" s="423">
        <v>418</v>
      </c>
      <c r="E7" s="423">
        <v>3249</v>
      </c>
      <c r="F7" s="423">
        <v>1708</v>
      </c>
      <c r="G7" s="423">
        <v>540</v>
      </c>
      <c r="H7" s="424">
        <v>535</v>
      </c>
      <c r="I7" s="79"/>
    </row>
    <row r="8" spans="1:9">
      <c r="A8" s="314" t="s">
        <v>122</v>
      </c>
      <c r="B8" s="111" t="s">
        <v>63</v>
      </c>
      <c r="C8" s="173"/>
      <c r="D8" s="198">
        <v>370</v>
      </c>
      <c r="E8" s="198">
        <v>2530.9999999999995</v>
      </c>
      <c r="F8" s="198">
        <v>28</v>
      </c>
      <c r="G8" s="198">
        <v>552.99999999999989</v>
      </c>
      <c r="H8" s="674">
        <v>123</v>
      </c>
      <c r="I8" s="79"/>
    </row>
    <row r="9" spans="1:9">
      <c r="A9" s="120"/>
      <c r="B9" s="115" t="s">
        <v>64</v>
      </c>
      <c r="C9" s="174"/>
      <c r="D9" s="198">
        <v>358</v>
      </c>
      <c r="E9" s="198">
        <v>2781</v>
      </c>
      <c r="F9" s="198">
        <v>133</v>
      </c>
      <c r="G9" s="198">
        <v>68</v>
      </c>
      <c r="H9" s="675">
        <v>312.99999999999994</v>
      </c>
      <c r="I9" s="79"/>
    </row>
    <row r="10" spans="1:9">
      <c r="A10" s="163"/>
      <c r="B10" s="164" t="s">
        <v>65</v>
      </c>
      <c r="C10" s="192"/>
      <c r="D10" s="198">
        <v>230</v>
      </c>
      <c r="E10" s="198">
        <v>4369</v>
      </c>
      <c r="F10" s="198">
        <v>315</v>
      </c>
      <c r="G10" s="198">
        <v>92</v>
      </c>
      <c r="H10" s="675">
        <v>178</v>
      </c>
      <c r="I10" s="79"/>
    </row>
    <row r="11" spans="1:9">
      <c r="A11" s="165"/>
      <c r="B11" s="115" t="s">
        <v>66</v>
      </c>
      <c r="C11" s="174"/>
      <c r="D11" s="198">
        <v>180.00000000000003</v>
      </c>
      <c r="E11" s="198">
        <v>2256.9999999999995</v>
      </c>
      <c r="F11" s="198">
        <v>1104</v>
      </c>
      <c r="G11" s="198">
        <v>88</v>
      </c>
      <c r="H11" s="675">
        <v>256</v>
      </c>
      <c r="I11" s="79"/>
    </row>
    <row r="12" spans="1:9">
      <c r="A12" s="120"/>
      <c r="B12" s="115" t="s">
        <v>67</v>
      </c>
      <c r="C12" s="174"/>
      <c r="D12" s="198">
        <v>444.99999999999994</v>
      </c>
      <c r="E12" s="198">
        <v>2431</v>
      </c>
      <c r="F12" s="198">
        <v>1375</v>
      </c>
      <c r="G12" s="198">
        <v>186</v>
      </c>
      <c r="H12" s="675">
        <v>522</v>
      </c>
      <c r="I12" s="79"/>
    </row>
    <row r="13" spans="1:9">
      <c r="A13" s="163"/>
      <c r="B13" s="164" t="s">
        <v>68</v>
      </c>
      <c r="C13" s="192"/>
      <c r="D13" s="198">
        <v>658</v>
      </c>
      <c r="E13" s="198">
        <v>6399</v>
      </c>
      <c r="F13" s="198">
        <v>2678</v>
      </c>
      <c r="G13" s="198">
        <v>1012</v>
      </c>
      <c r="H13" s="675">
        <v>537</v>
      </c>
      <c r="I13" s="79"/>
    </row>
    <row r="14" spans="1:9">
      <c r="A14" s="163"/>
      <c r="B14" s="115" t="s">
        <v>69</v>
      </c>
      <c r="C14" s="174"/>
      <c r="D14" s="198">
        <v>325</v>
      </c>
      <c r="E14" s="198">
        <v>2510</v>
      </c>
      <c r="F14" s="198">
        <v>1261.0000000000002</v>
      </c>
      <c r="G14" s="198">
        <v>210</v>
      </c>
      <c r="H14" s="675">
        <v>265.99999999999994</v>
      </c>
      <c r="I14" s="79"/>
    </row>
    <row r="15" spans="1:9">
      <c r="A15" s="120"/>
      <c r="B15" s="115" t="s">
        <v>70</v>
      </c>
      <c r="C15" s="174"/>
      <c r="D15" s="198">
        <v>507</v>
      </c>
      <c r="E15" s="198">
        <v>3570.0000000000005</v>
      </c>
      <c r="F15" s="198">
        <v>1759</v>
      </c>
      <c r="G15" s="198">
        <v>697</v>
      </c>
      <c r="H15" s="675">
        <v>350</v>
      </c>
      <c r="I15" s="79"/>
    </row>
    <row r="16" spans="1:9">
      <c r="A16" s="120"/>
      <c r="B16" s="164" t="s">
        <v>71</v>
      </c>
      <c r="C16" s="192"/>
      <c r="D16" s="198">
        <v>684</v>
      </c>
      <c r="E16" s="198">
        <v>2582</v>
      </c>
      <c r="F16" s="198">
        <v>2570.0000000000005</v>
      </c>
      <c r="G16" s="198">
        <v>780</v>
      </c>
      <c r="H16" s="675">
        <v>398</v>
      </c>
      <c r="I16" s="79"/>
    </row>
    <row r="17" spans="1:9">
      <c r="A17" s="120"/>
      <c r="B17" s="164" t="s">
        <v>72</v>
      </c>
      <c r="C17" s="192"/>
      <c r="D17" s="198">
        <v>560</v>
      </c>
      <c r="E17" s="198">
        <v>1434</v>
      </c>
      <c r="F17" s="198">
        <v>448</v>
      </c>
      <c r="G17" s="198">
        <v>465.99999999999994</v>
      </c>
      <c r="H17" s="675">
        <v>1331.9999999999998</v>
      </c>
      <c r="I17" s="79"/>
    </row>
    <row r="18" spans="1:9">
      <c r="A18" s="120"/>
      <c r="B18" s="164" t="s">
        <v>73</v>
      </c>
      <c r="C18" s="192"/>
      <c r="D18" s="198">
        <v>657</v>
      </c>
      <c r="E18" s="198">
        <v>2282</v>
      </c>
      <c r="F18" s="198">
        <v>2651</v>
      </c>
      <c r="G18" s="198">
        <v>186</v>
      </c>
      <c r="H18" s="675">
        <v>699</v>
      </c>
      <c r="I18" s="79"/>
    </row>
    <row r="19" spans="1:9">
      <c r="A19" s="154"/>
      <c r="B19" s="152" t="s">
        <v>74</v>
      </c>
      <c r="C19" s="193"/>
      <c r="D19" s="228">
        <v>500</v>
      </c>
      <c r="E19" s="228">
        <v>4393.0000000000009</v>
      </c>
      <c r="F19" s="228">
        <v>512</v>
      </c>
      <c r="G19" s="228">
        <v>33</v>
      </c>
      <c r="H19" s="676">
        <v>307</v>
      </c>
      <c r="I19" s="79"/>
    </row>
    <row r="20" spans="1:9">
      <c r="A20" s="302" t="s">
        <v>129</v>
      </c>
      <c r="B20" s="111" t="s">
        <v>63</v>
      </c>
      <c r="C20" s="173"/>
      <c r="D20" s="198">
        <v>385</v>
      </c>
      <c r="E20" s="198">
        <v>1172.9999999999998</v>
      </c>
      <c r="F20" s="198">
        <v>240</v>
      </c>
      <c r="G20" s="198">
        <v>397.99999999999994</v>
      </c>
      <c r="H20" s="675">
        <v>1117.9999999999998</v>
      </c>
      <c r="I20" s="79"/>
    </row>
    <row r="21" spans="1:9">
      <c r="A21" s="120"/>
      <c r="B21" s="115" t="s">
        <v>64</v>
      </c>
      <c r="C21" s="174"/>
      <c r="D21" s="198">
        <v>349</v>
      </c>
      <c r="E21" s="198">
        <v>5705</v>
      </c>
      <c r="F21" s="198">
        <v>361</v>
      </c>
      <c r="G21" s="198">
        <v>653</v>
      </c>
      <c r="H21" s="675">
        <v>317</v>
      </c>
      <c r="I21" s="79"/>
    </row>
    <row r="22" spans="1:9">
      <c r="A22" s="163"/>
      <c r="B22" s="164" t="s">
        <v>65</v>
      </c>
      <c r="C22" s="192"/>
      <c r="D22" s="198">
        <v>188</v>
      </c>
      <c r="E22" s="198">
        <v>1295.0000000000002</v>
      </c>
      <c r="F22" s="198">
        <v>762</v>
      </c>
      <c r="G22" s="198">
        <v>853</v>
      </c>
      <c r="H22" s="675">
        <v>3</v>
      </c>
      <c r="I22" s="79"/>
    </row>
    <row r="23" spans="1:9">
      <c r="A23" s="165"/>
      <c r="B23" s="115" t="s">
        <v>66</v>
      </c>
      <c r="C23" s="174"/>
      <c r="D23" s="198">
        <v>171</v>
      </c>
      <c r="E23" s="198">
        <v>1458.0000000000002</v>
      </c>
      <c r="F23" s="198">
        <v>1274</v>
      </c>
      <c r="G23" s="198">
        <v>210</v>
      </c>
      <c r="H23" s="675">
        <v>0</v>
      </c>
      <c r="I23" s="79"/>
    </row>
    <row r="24" spans="1:9">
      <c r="A24" s="120"/>
      <c r="B24" s="115" t="s">
        <v>67</v>
      </c>
      <c r="C24" s="174"/>
      <c r="D24" s="198">
        <v>127</v>
      </c>
      <c r="E24" s="198">
        <v>2711.9999999999995</v>
      </c>
      <c r="F24" s="198">
        <v>2011.0000000000002</v>
      </c>
      <c r="G24" s="198">
        <v>185</v>
      </c>
      <c r="H24" s="675">
        <v>664</v>
      </c>
      <c r="I24" s="79"/>
    </row>
    <row r="25" spans="1:9">
      <c r="A25" s="163"/>
      <c r="B25" s="164" t="s">
        <v>68</v>
      </c>
      <c r="C25" s="192"/>
      <c r="D25" s="198">
        <v>310</v>
      </c>
      <c r="E25" s="198">
        <v>1483</v>
      </c>
      <c r="F25" s="198">
        <v>1331</v>
      </c>
      <c r="G25" s="198">
        <v>471</v>
      </c>
      <c r="H25" s="675">
        <v>469</v>
      </c>
      <c r="I25" s="79"/>
    </row>
    <row r="26" spans="1:9">
      <c r="A26" s="163"/>
      <c r="B26" s="115" t="s">
        <v>69</v>
      </c>
      <c r="C26" s="174"/>
      <c r="D26" s="198">
        <v>575.00000000000011</v>
      </c>
      <c r="E26" s="198">
        <v>6574</v>
      </c>
      <c r="F26" s="198">
        <v>4601</v>
      </c>
      <c r="G26" s="198">
        <v>1089</v>
      </c>
      <c r="H26" s="675">
        <v>938</v>
      </c>
      <c r="I26" s="79"/>
    </row>
    <row r="27" spans="1:9">
      <c r="A27" s="120"/>
      <c r="B27" s="115" t="s">
        <v>70</v>
      </c>
      <c r="C27" s="174"/>
      <c r="D27" s="198">
        <v>574.00000000000011</v>
      </c>
      <c r="E27" s="198">
        <v>2048</v>
      </c>
      <c r="F27" s="198">
        <v>1686.0000000000002</v>
      </c>
      <c r="G27" s="198">
        <v>416</v>
      </c>
      <c r="H27" s="675">
        <v>144</v>
      </c>
      <c r="I27" s="79"/>
    </row>
    <row r="28" spans="1:9">
      <c r="A28" s="120"/>
      <c r="B28" s="164" t="s">
        <v>71</v>
      </c>
      <c r="C28" s="192"/>
      <c r="D28" s="198">
        <v>337.99999999999994</v>
      </c>
      <c r="E28" s="198">
        <v>5231</v>
      </c>
      <c r="F28" s="198">
        <v>684.99999999999989</v>
      </c>
      <c r="G28" s="198">
        <v>725</v>
      </c>
      <c r="H28" s="675">
        <v>392.99999999999994</v>
      </c>
      <c r="I28" s="79"/>
    </row>
    <row r="29" spans="1:9">
      <c r="A29" s="120"/>
      <c r="B29" s="164" t="s">
        <v>72</v>
      </c>
      <c r="C29" s="192"/>
      <c r="D29" s="198">
        <v>469</v>
      </c>
      <c r="E29" s="198">
        <v>1317.0000000000002</v>
      </c>
      <c r="F29" s="198">
        <v>946.00000000000011</v>
      </c>
      <c r="G29" s="198">
        <v>212</v>
      </c>
      <c r="H29" s="675">
        <v>671</v>
      </c>
      <c r="I29" s="79"/>
    </row>
    <row r="30" spans="1:9">
      <c r="A30" s="120"/>
      <c r="B30" s="164" t="s">
        <v>73</v>
      </c>
      <c r="C30" s="192"/>
      <c r="D30" s="198">
        <v>728.00000000000011</v>
      </c>
      <c r="E30" s="198">
        <v>6718.9999999999991</v>
      </c>
      <c r="F30" s="198">
        <v>2365</v>
      </c>
      <c r="G30" s="198">
        <v>1072</v>
      </c>
      <c r="H30" s="675">
        <v>583</v>
      </c>
      <c r="I30" s="79"/>
    </row>
    <row r="31" spans="1:9">
      <c r="A31" s="154"/>
      <c r="B31" s="152" t="s">
        <v>74</v>
      </c>
      <c r="C31" s="193"/>
      <c r="D31" s="228">
        <v>466</v>
      </c>
      <c r="E31" s="228">
        <v>3936</v>
      </c>
      <c r="F31" s="228">
        <v>4295</v>
      </c>
      <c r="G31" s="228">
        <v>315</v>
      </c>
      <c r="H31" s="676">
        <v>1037</v>
      </c>
      <c r="I31" s="79"/>
    </row>
    <row r="32" spans="1:9">
      <c r="A32" s="302" t="s">
        <v>141</v>
      </c>
      <c r="B32" s="111" t="s">
        <v>63</v>
      </c>
      <c r="C32" s="173"/>
      <c r="D32" s="198">
        <v>541</v>
      </c>
      <c r="E32" s="198">
        <v>4635</v>
      </c>
      <c r="F32" s="198">
        <v>1415</v>
      </c>
      <c r="G32" s="198">
        <v>383</v>
      </c>
      <c r="H32" s="675">
        <v>1793</v>
      </c>
      <c r="I32" s="79"/>
    </row>
    <row r="33" spans="1:12">
      <c r="A33" s="120"/>
      <c r="B33" s="115" t="s">
        <v>64</v>
      </c>
      <c r="C33" s="174"/>
      <c r="D33" s="198">
        <v>405</v>
      </c>
      <c r="E33" s="198">
        <v>3097</v>
      </c>
      <c r="F33" s="198">
        <v>431</v>
      </c>
      <c r="G33" s="198">
        <v>318</v>
      </c>
      <c r="H33" s="226">
        <v>279</v>
      </c>
      <c r="I33" s="79"/>
    </row>
    <row r="34" spans="1:12">
      <c r="A34" s="163"/>
      <c r="B34" s="164" t="s">
        <v>65</v>
      </c>
      <c r="C34" s="192"/>
      <c r="D34" s="198">
        <v>692.00000000000011</v>
      </c>
      <c r="E34" s="198">
        <v>2665</v>
      </c>
      <c r="F34" s="198">
        <v>303</v>
      </c>
      <c r="G34" s="198">
        <v>265</v>
      </c>
      <c r="H34" s="226">
        <v>483.00000000000006</v>
      </c>
      <c r="I34" s="79"/>
    </row>
    <row r="35" spans="1:12">
      <c r="A35" s="165"/>
      <c r="B35" s="115" t="s">
        <v>66</v>
      </c>
      <c r="C35" s="174"/>
      <c r="D35" s="198">
        <v>743.00000000000011</v>
      </c>
      <c r="E35" s="198">
        <v>1549</v>
      </c>
      <c r="F35" s="198">
        <v>1780</v>
      </c>
      <c r="G35" s="198">
        <v>1076</v>
      </c>
      <c r="H35" s="226">
        <v>690.00000000000011</v>
      </c>
      <c r="I35" s="79"/>
    </row>
    <row r="36" spans="1:12">
      <c r="A36" s="120"/>
      <c r="B36" s="115" t="s">
        <v>67</v>
      </c>
      <c r="C36" s="174"/>
      <c r="D36" s="198">
        <v>728.00000000000011</v>
      </c>
      <c r="E36" s="198">
        <v>6814.9999999999991</v>
      </c>
      <c r="F36" s="198">
        <v>3575.9999999999995</v>
      </c>
      <c r="G36" s="198">
        <v>338</v>
      </c>
      <c r="H36" s="226">
        <v>696.00000000000011</v>
      </c>
      <c r="I36" s="79"/>
    </row>
    <row r="37" spans="1:12">
      <c r="A37" s="163"/>
      <c r="B37" s="164" t="s">
        <v>68</v>
      </c>
      <c r="C37" s="192"/>
      <c r="D37" s="198">
        <v>528</v>
      </c>
      <c r="E37" s="198">
        <v>166</v>
      </c>
      <c r="F37" s="198">
        <v>1956.9999999999998</v>
      </c>
      <c r="G37" s="198">
        <v>354</v>
      </c>
      <c r="H37" s="226">
        <v>631</v>
      </c>
      <c r="I37" s="79"/>
    </row>
    <row r="38" spans="1:12">
      <c r="A38" s="163"/>
      <c r="B38" s="115" t="s">
        <v>69</v>
      </c>
      <c r="C38" s="174"/>
      <c r="D38" s="198">
        <v>608</v>
      </c>
      <c r="E38" s="198">
        <v>3360</v>
      </c>
      <c r="F38" s="198">
        <v>1561</v>
      </c>
      <c r="G38" s="198">
        <v>1301.0000000000002</v>
      </c>
      <c r="H38" s="226">
        <v>401</v>
      </c>
      <c r="I38" s="79"/>
    </row>
    <row r="39" spans="1:12">
      <c r="A39" s="120"/>
      <c r="B39" s="115" t="s">
        <v>70</v>
      </c>
      <c r="C39" s="174"/>
      <c r="D39" s="198">
        <v>437.00000000000006</v>
      </c>
      <c r="E39" s="198">
        <v>425</v>
      </c>
      <c r="F39" s="198">
        <v>2437</v>
      </c>
      <c r="G39" s="198">
        <v>292.00000000000006</v>
      </c>
      <c r="H39" s="226">
        <v>620</v>
      </c>
      <c r="I39" s="79"/>
    </row>
    <row r="40" spans="1:12">
      <c r="A40" s="120"/>
      <c r="B40" s="164" t="s">
        <v>71</v>
      </c>
      <c r="C40" s="192"/>
      <c r="D40" s="198">
        <v>538</v>
      </c>
      <c r="E40" s="198">
        <v>2606</v>
      </c>
      <c r="F40" s="198">
        <v>628</v>
      </c>
      <c r="G40" s="198">
        <v>856</v>
      </c>
      <c r="H40" s="226">
        <v>247</v>
      </c>
      <c r="I40" s="79"/>
    </row>
    <row r="41" spans="1:12">
      <c r="A41" s="120"/>
      <c r="B41" s="164" t="s">
        <v>72</v>
      </c>
      <c r="C41" s="192"/>
      <c r="D41" s="198">
        <v>599</v>
      </c>
      <c r="E41" s="198">
        <v>8183</v>
      </c>
      <c r="F41" s="198">
        <v>1877</v>
      </c>
      <c r="G41" s="198">
        <v>398</v>
      </c>
      <c r="H41" s="226">
        <v>480</v>
      </c>
      <c r="I41" s="79"/>
    </row>
    <row r="42" spans="1:12">
      <c r="A42" s="120"/>
      <c r="B42" s="164" t="s">
        <v>73</v>
      </c>
      <c r="C42" s="192"/>
      <c r="D42" s="448">
        <v>302</v>
      </c>
      <c r="E42" s="448">
        <v>5505</v>
      </c>
      <c r="F42" s="448">
        <v>3267</v>
      </c>
      <c r="G42" s="448">
        <v>171</v>
      </c>
      <c r="H42" s="449">
        <v>937</v>
      </c>
      <c r="I42" s="79"/>
    </row>
    <row r="43" spans="1:12" ht="12.75" thickBot="1">
      <c r="A43" s="90"/>
      <c r="B43" s="166" t="s">
        <v>74</v>
      </c>
      <c r="C43" s="194"/>
      <c r="D43" s="354">
        <v>754.99999999999989</v>
      </c>
      <c r="E43" s="354">
        <v>7004</v>
      </c>
      <c r="F43" s="354">
        <v>1943</v>
      </c>
      <c r="G43" s="354">
        <v>1014</v>
      </c>
      <c r="H43" s="355">
        <v>482</v>
      </c>
      <c r="I43" s="79"/>
    </row>
    <row r="44" spans="1:12" s="10" customFormat="1" ht="12" customHeight="1">
      <c r="A44" s="53" t="str">
        <f>Titles!$A$12</f>
        <v>1 Data for 2020 and 2021 based on 2016 Census Definitions.</v>
      </c>
      <c r="B44" s="87"/>
      <c r="C44" s="408"/>
      <c r="D44" s="360"/>
      <c r="E44" s="54"/>
      <c r="F44" s="360"/>
      <c r="G44" s="360"/>
      <c r="H44" s="409"/>
      <c r="I44" s="240"/>
      <c r="J44" s="240"/>
      <c r="K44" s="341"/>
      <c r="L44" s="11"/>
    </row>
    <row r="45" spans="1:12">
      <c r="A45" s="402" t="s">
        <v>118</v>
      </c>
      <c r="B45" s="348"/>
      <c r="C45" s="348"/>
      <c r="D45" s="348"/>
      <c r="E45" s="401"/>
      <c r="F45" s="346"/>
      <c r="G45" s="346"/>
      <c r="H45" s="346"/>
      <c r="I45" s="79"/>
    </row>
    <row r="46" spans="1:12" s="347" customFormat="1" ht="10.9" customHeight="1">
      <c r="A46" s="361" t="str">
        <f>Titles!$A$10</f>
        <v>Source: CMHC Starts and Completion Survey, Market Absorption Survey</v>
      </c>
      <c r="B46" s="348"/>
      <c r="C46" s="348"/>
      <c r="D46" s="348"/>
      <c r="E46" s="362"/>
      <c r="F46" s="348"/>
      <c r="G46" s="348"/>
      <c r="H46" s="348"/>
    </row>
    <row r="47" spans="1:12" s="347" customFormat="1" ht="10.9" customHeight="1"/>
    <row r="48" spans="1:12" ht="12" customHeight="1">
      <c r="A48" s="94"/>
      <c r="B48" s="93"/>
      <c r="C48" s="93"/>
      <c r="D48" s="177"/>
      <c r="E48" s="362"/>
      <c r="F48" s="177"/>
      <c r="G48" s="202"/>
      <c r="H48" s="93"/>
      <c r="I48" s="13"/>
    </row>
    <row r="49" spans="1:9" ht="9.75" customHeight="1">
      <c r="A49" s="94"/>
      <c r="B49" s="93"/>
      <c r="C49" s="93"/>
      <c r="D49" s="177"/>
      <c r="E49" s="177"/>
      <c r="F49" s="177"/>
      <c r="G49" s="202"/>
      <c r="H49" s="93"/>
      <c r="I49" s="13"/>
    </row>
    <row r="61" spans="1:9">
      <c r="A61" s="53"/>
      <c r="B61" s="84"/>
      <c r="C61" s="408"/>
      <c r="D61" s="409"/>
      <c r="E61" s="409"/>
      <c r="F61" s="54"/>
    </row>
    <row r="62" spans="1:9" ht="15">
      <c r="A62" s="53"/>
      <c r="B62" s="178"/>
      <c r="C62" s="178"/>
      <c r="D62" s="178"/>
      <c r="E62" s="178"/>
      <c r="F62" s="54"/>
    </row>
  </sheetData>
  <phoneticPr fontId="11" type="noConversion"/>
  <pageMargins left="0.78740157480314965" right="0.51181102362204722" top="0.51181102362204722" bottom="0.51181102362204722" header="0.51181102362204722" footer="0.51181102362204722"/>
  <pageSetup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61"/>
  <sheetViews>
    <sheetView zoomScaleNormal="100" workbookViewId="0"/>
  </sheetViews>
  <sheetFormatPr defaultColWidth="11.5546875" defaultRowHeight="12"/>
  <cols>
    <col min="1" max="1" width="8.77734375" style="12" customWidth="1"/>
    <col min="2" max="2" width="9.21875" style="12" customWidth="1"/>
    <col min="3" max="3" width="8.77734375" style="12" customWidth="1"/>
    <col min="4" max="8" width="9.77734375" style="12" customWidth="1"/>
    <col min="9" max="16384" width="11.5546875" style="12"/>
  </cols>
  <sheetData>
    <row r="1" spans="1:9" s="185" customFormat="1" ht="15.95" customHeight="1">
      <c r="A1" s="493" t="s">
        <v>167</v>
      </c>
      <c r="B1" s="494"/>
      <c r="C1" s="494"/>
      <c r="D1" s="494"/>
      <c r="E1" s="494"/>
      <c r="F1" s="494"/>
      <c r="G1" s="494"/>
      <c r="H1" s="495"/>
      <c r="I1" s="184"/>
    </row>
    <row r="2" spans="1:9" s="185" customFormat="1" ht="15.95" customHeight="1">
      <c r="A2" s="496" t="s">
        <v>166</v>
      </c>
      <c r="B2" s="497"/>
      <c r="C2" s="497"/>
      <c r="D2" s="497"/>
      <c r="E2" s="497"/>
      <c r="F2" s="497"/>
      <c r="G2" s="497"/>
      <c r="H2" s="498"/>
      <c r="I2" s="184"/>
    </row>
    <row r="3" spans="1:9" s="185" customFormat="1" ht="15.95" customHeight="1" thickBot="1">
      <c r="A3" s="502"/>
      <c r="B3" s="539"/>
      <c r="C3" s="539"/>
      <c r="D3" s="539"/>
      <c r="E3" s="539"/>
      <c r="F3" s="539"/>
      <c r="G3" s="539"/>
      <c r="H3" s="540"/>
      <c r="I3" s="184"/>
    </row>
    <row r="4" spans="1:9">
      <c r="A4" s="83"/>
      <c r="B4" s="92"/>
      <c r="C4" s="124"/>
      <c r="D4" s="126"/>
      <c r="E4" s="126"/>
      <c r="F4" s="126"/>
      <c r="G4" s="126"/>
      <c r="H4" s="105"/>
      <c r="I4" s="79"/>
    </row>
    <row r="5" spans="1:9">
      <c r="A5" s="154" t="s">
        <v>96</v>
      </c>
      <c r="B5" s="148"/>
      <c r="C5" s="155"/>
      <c r="D5" s="156" t="s">
        <v>33</v>
      </c>
      <c r="E5" s="156" t="s">
        <v>38</v>
      </c>
      <c r="F5" s="156" t="s">
        <v>41</v>
      </c>
      <c r="G5" s="156" t="s">
        <v>27</v>
      </c>
      <c r="H5" s="157" t="s">
        <v>110</v>
      </c>
      <c r="I5" s="79"/>
    </row>
    <row r="6" spans="1:9" ht="13.5">
      <c r="A6" s="137" t="s">
        <v>138</v>
      </c>
      <c r="B6" s="186"/>
      <c r="C6" s="191"/>
      <c r="D6" s="198">
        <v>6203</v>
      </c>
      <c r="E6" s="198">
        <v>1880</v>
      </c>
      <c r="F6" s="198">
        <v>640</v>
      </c>
      <c r="G6" s="198">
        <v>25112</v>
      </c>
      <c r="H6" s="226">
        <v>3421</v>
      </c>
      <c r="I6" s="79"/>
    </row>
    <row r="7" spans="1:9" ht="13.5">
      <c r="A7" s="85" t="s">
        <v>140</v>
      </c>
      <c r="B7" s="152"/>
      <c r="C7" s="119"/>
      <c r="D7" s="423">
        <v>6713</v>
      </c>
      <c r="E7" s="423">
        <v>2264</v>
      </c>
      <c r="F7" s="423">
        <v>662</v>
      </c>
      <c r="G7" s="423">
        <v>27274</v>
      </c>
      <c r="H7" s="424">
        <v>3084</v>
      </c>
      <c r="I7" s="79"/>
    </row>
    <row r="8" spans="1:9">
      <c r="A8" s="314" t="s">
        <v>122</v>
      </c>
      <c r="B8" s="111" t="s">
        <v>63</v>
      </c>
      <c r="C8" s="173"/>
      <c r="D8" s="198">
        <v>1543</v>
      </c>
      <c r="E8" s="198">
        <v>141</v>
      </c>
      <c r="F8" s="198">
        <v>246</v>
      </c>
      <c r="G8" s="198">
        <v>19342</v>
      </c>
      <c r="H8" s="226">
        <v>789</v>
      </c>
      <c r="I8" s="79"/>
    </row>
    <row r="9" spans="1:9">
      <c r="A9" s="120"/>
      <c r="B9" s="115" t="s">
        <v>64</v>
      </c>
      <c r="C9" s="174"/>
      <c r="D9" s="198">
        <v>1546.0000000000002</v>
      </c>
      <c r="E9" s="198">
        <v>3840</v>
      </c>
      <c r="F9" s="198">
        <v>368</v>
      </c>
      <c r="G9" s="198">
        <v>14945</v>
      </c>
      <c r="H9" s="226">
        <v>1746</v>
      </c>
      <c r="I9" s="79"/>
    </row>
    <row r="10" spans="1:9">
      <c r="A10" s="163"/>
      <c r="B10" s="164" t="s">
        <v>65</v>
      </c>
      <c r="C10" s="192"/>
      <c r="D10" s="198">
        <v>2799</v>
      </c>
      <c r="E10" s="198">
        <v>3915</v>
      </c>
      <c r="F10" s="198">
        <v>447.00000000000006</v>
      </c>
      <c r="G10" s="198">
        <v>31503</v>
      </c>
      <c r="H10" s="226">
        <v>5527</v>
      </c>
      <c r="I10" s="79"/>
    </row>
    <row r="11" spans="1:9">
      <c r="A11" s="165"/>
      <c r="B11" s="115" t="s">
        <v>66</v>
      </c>
      <c r="C11" s="174"/>
      <c r="D11" s="198">
        <v>4027</v>
      </c>
      <c r="E11" s="198">
        <v>1466.0000000000002</v>
      </c>
      <c r="F11" s="198">
        <v>668</v>
      </c>
      <c r="G11" s="198">
        <v>29189.999999999996</v>
      </c>
      <c r="H11" s="226">
        <v>5069</v>
      </c>
      <c r="I11" s="79"/>
    </row>
    <row r="12" spans="1:9">
      <c r="A12" s="120"/>
      <c r="B12" s="115" t="s">
        <v>67</v>
      </c>
      <c r="C12" s="174"/>
      <c r="D12" s="198">
        <v>8799</v>
      </c>
      <c r="E12" s="198">
        <v>1439</v>
      </c>
      <c r="F12" s="198">
        <v>632</v>
      </c>
      <c r="G12" s="198">
        <v>25637.999999999996</v>
      </c>
      <c r="H12" s="226">
        <v>5978.9999999999991</v>
      </c>
      <c r="I12" s="79"/>
    </row>
    <row r="13" spans="1:9">
      <c r="A13" s="163"/>
      <c r="B13" s="164" t="s">
        <v>68</v>
      </c>
      <c r="C13" s="192"/>
      <c r="D13" s="198">
        <v>11633</v>
      </c>
      <c r="E13" s="198">
        <v>871</v>
      </c>
      <c r="F13" s="198">
        <v>320</v>
      </c>
      <c r="G13" s="198">
        <v>40303.999999999993</v>
      </c>
      <c r="H13" s="226">
        <v>1490</v>
      </c>
      <c r="I13" s="79"/>
    </row>
    <row r="14" spans="1:9">
      <c r="A14" s="163"/>
      <c r="B14" s="115" t="s">
        <v>69</v>
      </c>
      <c r="C14" s="174"/>
      <c r="D14" s="198">
        <v>8869</v>
      </c>
      <c r="E14" s="198">
        <v>1000</v>
      </c>
      <c r="F14" s="198">
        <v>586.00000000000011</v>
      </c>
      <c r="G14" s="198">
        <v>24723</v>
      </c>
      <c r="H14" s="226">
        <v>3453.0000000000005</v>
      </c>
      <c r="I14" s="79"/>
    </row>
    <row r="15" spans="1:9">
      <c r="A15" s="120"/>
      <c r="B15" s="115" t="s">
        <v>70</v>
      </c>
      <c r="C15" s="174"/>
      <c r="D15" s="198">
        <v>6207</v>
      </c>
      <c r="E15" s="198">
        <v>719.00000000000011</v>
      </c>
      <c r="F15" s="198">
        <v>423.00000000000006</v>
      </c>
      <c r="G15" s="198">
        <v>25561.999999999996</v>
      </c>
      <c r="H15" s="226">
        <v>1022</v>
      </c>
      <c r="I15" s="79"/>
    </row>
    <row r="16" spans="1:9">
      <c r="A16" s="120"/>
      <c r="B16" s="164" t="s">
        <v>71</v>
      </c>
      <c r="C16" s="192"/>
      <c r="D16" s="198">
        <v>11738.000000000002</v>
      </c>
      <c r="E16" s="198">
        <v>2889</v>
      </c>
      <c r="F16" s="198">
        <v>913.99999999999989</v>
      </c>
      <c r="G16" s="198">
        <v>18648</v>
      </c>
      <c r="H16" s="226">
        <v>2562.9999999999995</v>
      </c>
      <c r="I16" s="79"/>
    </row>
    <row r="17" spans="1:9">
      <c r="A17" s="120"/>
      <c r="B17" s="164" t="s">
        <v>72</v>
      </c>
      <c r="C17" s="192"/>
      <c r="D17" s="198">
        <v>6024</v>
      </c>
      <c r="E17" s="198">
        <v>1461</v>
      </c>
      <c r="F17" s="198">
        <v>1410.0000000000002</v>
      </c>
      <c r="G17" s="198">
        <v>31301.000000000004</v>
      </c>
      <c r="H17" s="226">
        <v>6275</v>
      </c>
      <c r="I17" s="79"/>
    </row>
    <row r="18" spans="1:9">
      <c r="A18" s="120"/>
      <c r="B18" s="164" t="s">
        <v>73</v>
      </c>
      <c r="C18" s="192"/>
      <c r="D18" s="198">
        <v>7824</v>
      </c>
      <c r="E18" s="198">
        <v>2102.0000000000005</v>
      </c>
      <c r="F18" s="198">
        <v>734</v>
      </c>
      <c r="G18" s="198">
        <v>20723</v>
      </c>
      <c r="H18" s="226">
        <v>3768</v>
      </c>
      <c r="I18" s="79"/>
    </row>
    <row r="19" spans="1:9">
      <c r="A19" s="154"/>
      <c r="B19" s="152" t="s">
        <v>74</v>
      </c>
      <c r="C19" s="193"/>
      <c r="D19" s="228">
        <v>3143</v>
      </c>
      <c r="E19" s="228">
        <v>2366</v>
      </c>
      <c r="F19" s="228">
        <v>615</v>
      </c>
      <c r="G19" s="228">
        <v>18992</v>
      </c>
      <c r="H19" s="229">
        <v>3344</v>
      </c>
      <c r="I19" s="79"/>
    </row>
    <row r="20" spans="1:9">
      <c r="A20" s="302" t="s">
        <v>129</v>
      </c>
      <c r="B20" s="111" t="s">
        <v>63</v>
      </c>
      <c r="C20" s="173"/>
      <c r="D20" s="198">
        <v>4689.9999999999991</v>
      </c>
      <c r="E20" s="198">
        <v>2724</v>
      </c>
      <c r="F20" s="198">
        <v>305.00000000000006</v>
      </c>
      <c r="G20" s="198">
        <v>28508</v>
      </c>
      <c r="H20" s="226">
        <v>3046.9999999999995</v>
      </c>
      <c r="I20" s="79"/>
    </row>
    <row r="21" spans="1:9">
      <c r="A21" s="120"/>
      <c r="B21" s="115" t="s">
        <v>64</v>
      </c>
      <c r="C21" s="174"/>
      <c r="D21" s="198">
        <v>2514.0000000000005</v>
      </c>
      <c r="E21" s="198">
        <v>754</v>
      </c>
      <c r="F21" s="198">
        <v>527</v>
      </c>
      <c r="G21" s="198">
        <v>19512.999999999996</v>
      </c>
      <c r="H21" s="226">
        <v>5282.9999999999991</v>
      </c>
      <c r="I21" s="79"/>
    </row>
    <row r="22" spans="1:9">
      <c r="A22" s="163"/>
      <c r="B22" s="164" t="s">
        <v>65</v>
      </c>
      <c r="C22" s="192"/>
      <c r="D22" s="198">
        <v>5478</v>
      </c>
      <c r="E22" s="198">
        <v>3452</v>
      </c>
      <c r="F22" s="198">
        <v>215</v>
      </c>
      <c r="G22" s="198">
        <v>17945</v>
      </c>
      <c r="H22" s="226">
        <v>1460</v>
      </c>
      <c r="I22" s="79"/>
    </row>
    <row r="23" spans="1:9">
      <c r="A23" s="165"/>
      <c r="B23" s="115" t="s">
        <v>66</v>
      </c>
      <c r="C23" s="174"/>
      <c r="D23" s="198">
        <v>0</v>
      </c>
      <c r="E23" s="198">
        <v>0</v>
      </c>
      <c r="F23" s="198">
        <v>0</v>
      </c>
      <c r="G23" s="198">
        <v>0</v>
      </c>
      <c r="H23" s="226">
        <v>0</v>
      </c>
      <c r="I23" s="79"/>
    </row>
    <row r="24" spans="1:9">
      <c r="A24" s="120"/>
      <c r="B24" s="115" t="s">
        <v>67</v>
      </c>
      <c r="C24" s="174"/>
      <c r="D24" s="198">
        <v>11509</v>
      </c>
      <c r="E24" s="198">
        <v>1811</v>
      </c>
      <c r="F24" s="198">
        <v>1693</v>
      </c>
      <c r="G24" s="198">
        <v>33168</v>
      </c>
      <c r="H24" s="226">
        <v>3904</v>
      </c>
      <c r="I24" s="79"/>
    </row>
    <row r="25" spans="1:9">
      <c r="A25" s="163"/>
      <c r="B25" s="164" t="s">
        <v>68</v>
      </c>
      <c r="C25" s="192"/>
      <c r="D25" s="198">
        <v>11347.999999999998</v>
      </c>
      <c r="E25" s="198">
        <v>4149</v>
      </c>
      <c r="F25" s="198">
        <v>989</v>
      </c>
      <c r="G25" s="198">
        <v>39518</v>
      </c>
      <c r="H25" s="226">
        <v>3646</v>
      </c>
      <c r="I25" s="79"/>
    </row>
    <row r="26" spans="1:9">
      <c r="A26" s="163"/>
      <c r="B26" s="115" t="s">
        <v>69</v>
      </c>
      <c r="C26" s="174"/>
      <c r="D26" s="198">
        <v>6671</v>
      </c>
      <c r="E26" s="198">
        <v>1229</v>
      </c>
      <c r="F26" s="198">
        <v>909</v>
      </c>
      <c r="G26" s="198">
        <v>35597</v>
      </c>
      <c r="H26" s="226">
        <v>2621</v>
      </c>
      <c r="I26" s="79"/>
    </row>
    <row r="27" spans="1:9">
      <c r="A27" s="120"/>
      <c r="B27" s="115" t="s">
        <v>70</v>
      </c>
      <c r="C27" s="174"/>
      <c r="D27" s="198">
        <v>9582</v>
      </c>
      <c r="E27" s="198">
        <v>1936.0000000000002</v>
      </c>
      <c r="F27" s="198">
        <v>348</v>
      </c>
      <c r="G27" s="198">
        <v>27009</v>
      </c>
      <c r="H27" s="226">
        <v>1870</v>
      </c>
      <c r="I27" s="79"/>
    </row>
    <row r="28" spans="1:9">
      <c r="A28" s="120"/>
      <c r="B28" s="164" t="s">
        <v>71</v>
      </c>
      <c r="C28" s="192"/>
      <c r="D28" s="198">
        <v>8901</v>
      </c>
      <c r="E28" s="198">
        <v>2285</v>
      </c>
      <c r="F28" s="198">
        <v>501</v>
      </c>
      <c r="G28" s="198">
        <v>32695</v>
      </c>
      <c r="H28" s="226">
        <v>4391</v>
      </c>
      <c r="I28" s="79"/>
    </row>
    <row r="29" spans="1:9">
      <c r="A29" s="120"/>
      <c r="B29" s="164" t="s">
        <v>72</v>
      </c>
      <c r="C29" s="192"/>
      <c r="D29" s="198">
        <v>9331</v>
      </c>
      <c r="E29" s="198">
        <v>5633</v>
      </c>
      <c r="F29" s="198">
        <v>955</v>
      </c>
      <c r="G29" s="198">
        <v>24525.000000000004</v>
      </c>
      <c r="H29" s="226">
        <v>1931</v>
      </c>
      <c r="I29" s="79"/>
    </row>
    <row r="30" spans="1:9">
      <c r="A30" s="120"/>
      <c r="B30" s="164" t="s">
        <v>73</v>
      </c>
      <c r="C30" s="192"/>
      <c r="D30" s="448">
        <v>5220.0000000000009</v>
      </c>
      <c r="E30" s="448">
        <v>1534</v>
      </c>
      <c r="F30" s="448">
        <v>858</v>
      </c>
      <c r="G30" s="448">
        <v>36134</v>
      </c>
      <c r="H30" s="449">
        <v>4925.9999999999991</v>
      </c>
      <c r="I30" s="79"/>
    </row>
    <row r="31" spans="1:9">
      <c r="A31" s="154"/>
      <c r="B31" s="152" t="s">
        <v>74</v>
      </c>
      <c r="C31" s="193"/>
      <c r="D31" s="316">
        <v>5443</v>
      </c>
      <c r="E31" s="316">
        <v>1760.0000000000002</v>
      </c>
      <c r="F31" s="316">
        <v>579</v>
      </c>
      <c r="G31" s="228">
        <v>34114.000000000007</v>
      </c>
      <c r="H31" s="229">
        <v>3611</v>
      </c>
      <c r="I31" s="79"/>
    </row>
    <row r="32" spans="1:9">
      <c r="A32" s="302" t="s">
        <v>141</v>
      </c>
      <c r="B32" s="111" t="s">
        <v>63</v>
      </c>
      <c r="C32" s="173"/>
      <c r="D32" s="198">
        <v>13654</v>
      </c>
      <c r="E32" s="198">
        <v>2393</v>
      </c>
      <c r="F32" s="198">
        <v>667</v>
      </c>
      <c r="G32" s="198">
        <v>36894.000000000007</v>
      </c>
      <c r="H32" s="226">
        <v>3356</v>
      </c>
      <c r="I32" s="79"/>
    </row>
    <row r="33" spans="1:9">
      <c r="A33" s="120"/>
      <c r="B33" s="115" t="s">
        <v>64</v>
      </c>
      <c r="C33" s="174"/>
      <c r="D33" s="198">
        <v>3744</v>
      </c>
      <c r="E33" s="198">
        <v>3247</v>
      </c>
      <c r="F33" s="198">
        <v>484</v>
      </c>
      <c r="G33" s="198">
        <v>39909</v>
      </c>
      <c r="H33" s="226">
        <v>1593</v>
      </c>
      <c r="I33" s="79"/>
    </row>
    <row r="34" spans="1:9">
      <c r="A34" s="163"/>
      <c r="B34" s="164" t="s">
        <v>65</v>
      </c>
      <c r="C34" s="192"/>
      <c r="D34" s="198">
        <v>7065</v>
      </c>
      <c r="E34" s="198">
        <v>4053</v>
      </c>
      <c r="F34" s="198">
        <v>1285</v>
      </c>
      <c r="G34" s="198">
        <v>30628.999999999996</v>
      </c>
      <c r="H34" s="226">
        <v>2364</v>
      </c>
      <c r="I34" s="79"/>
    </row>
    <row r="35" spans="1:9">
      <c r="A35" s="165"/>
      <c r="B35" s="115" t="s">
        <v>66</v>
      </c>
      <c r="C35" s="174"/>
      <c r="D35" s="198">
        <v>7259</v>
      </c>
      <c r="E35" s="198">
        <v>2807</v>
      </c>
      <c r="F35" s="198">
        <v>828</v>
      </c>
      <c r="G35" s="198">
        <v>39353</v>
      </c>
      <c r="H35" s="226">
        <v>7160</v>
      </c>
      <c r="I35" s="79"/>
    </row>
    <row r="36" spans="1:9">
      <c r="A36" s="120"/>
      <c r="B36" s="115" t="s">
        <v>67</v>
      </c>
      <c r="C36" s="174"/>
      <c r="D36" s="198">
        <v>11472.999999999998</v>
      </c>
      <c r="E36" s="198">
        <v>2370</v>
      </c>
      <c r="F36" s="198">
        <v>872</v>
      </c>
      <c r="G36" s="198">
        <v>27970</v>
      </c>
      <c r="H36" s="226">
        <v>5555.0000000000009</v>
      </c>
      <c r="I36" s="79"/>
    </row>
    <row r="37" spans="1:9">
      <c r="A37" s="163"/>
      <c r="B37" s="164" t="s">
        <v>68</v>
      </c>
      <c r="C37" s="192"/>
      <c r="D37" s="198">
        <v>16965.999999999996</v>
      </c>
      <c r="E37" s="198">
        <v>2615</v>
      </c>
      <c r="F37" s="198">
        <v>1282</v>
      </c>
      <c r="G37" s="198">
        <v>39010.000000000007</v>
      </c>
      <c r="H37" s="226">
        <v>2342</v>
      </c>
      <c r="I37" s="79"/>
    </row>
    <row r="38" spans="1:9">
      <c r="A38" s="163"/>
      <c r="B38" s="115" t="s">
        <v>69</v>
      </c>
      <c r="C38" s="174"/>
      <c r="D38" s="198">
        <v>16655</v>
      </c>
      <c r="E38" s="198">
        <v>1439</v>
      </c>
      <c r="F38" s="198">
        <v>1307.9999999999998</v>
      </c>
      <c r="G38" s="198">
        <v>30528</v>
      </c>
      <c r="H38" s="226">
        <v>1361</v>
      </c>
      <c r="I38" s="79"/>
    </row>
    <row r="39" spans="1:9">
      <c r="A39" s="120"/>
      <c r="B39" s="115" t="s">
        <v>70</v>
      </c>
      <c r="C39" s="174"/>
      <c r="D39" s="198">
        <v>2178</v>
      </c>
      <c r="E39" s="198">
        <v>1879</v>
      </c>
      <c r="F39" s="198">
        <v>437</v>
      </c>
      <c r="G39" s="198">
        <v>26811.999999999996</v>
      </c>
      <c r="H39" s="226">
        <v>742</v>
      </c>
      <c r="I39" s="79"/>
    </row>
    <row r="40" spans="1:9">
      <c r="A40" s="120"/>
      <c r="B40" s="164" t="s">
        <v>71</v>
      </c>
      <c r="C40" s="192"/>
      <c r="D40" s="198">
        <v>9116</v>
      </c>
      <c r="E40" s="198">
        <v>3050.0000000000005</v>
      </c>
      <c r="F40" s="198">
        <v>1695</v>
      </c>
      <c r="G40" s="198">
        <v>34032</v>
      </c>
      <c r="H40" s="226">
        <v>6837.0000000000009</v>
      </c>
      <c r="I40" s="79"/>
    </row>
    <row r="41" spans="1:9">
      <c r="A41" s="120"/>
      <c r="B41" s="164" t="s">
        <v>72</v>
      </c>
      <c r="C41" s="192"/>
      <c r="D41" s="198">
        <v>7929</v>
      </c>
      <c r="E41" s="198">
        <v>3093</v>
      </c>
      <c r="F41" s="198">
        <v>1086</v>
      </c>
      <c r="G41" s="198">
        <v>28280</v>
      </c>
      <c r="H41" s="226">
        <v>3637</v>
      </c>
      <c r="I41" s="79"/>
    </row>
    <row r="42" spans="1:9">
      <c r="A42" s="120"/>
      <c r="B42" s="164" t="s">
        <v>73</v>
      </c>
      <c r="C42" s="192"/>
      <c r="D42" s="448">
        <v>9916</v>
      </c>
      <c r="E42" s="448">
        <v>2767</v>
      </c>
      <c r="F42" s="448">
        <v>1668.0000000000002</v>
      </c>
      <c r="G42" s="448">
        <v>36211.999999999993</v>
      </c>
      <c r="H42" s="449">
        <v>2396</v>
      </c>
      <c r="I42" s="79"/>
    </row>
    <row r="43" spans="1:9" ht="12.75" thickBot="1">
      <c r="A43" s="90"/>
      <c r="B43" s="166" t="s">
        <v>74</v>
      </c>
      <c r="C43" s="194"/>
      <c r="D43" s="354">
        <v>8042.9999999999991</v>
      </c>
      <c r="E43" s="224">
        <v>3291</v>
      </c>
      <c r="F43" s="354">
        <v>1800</v>
      </c>
      <c r="G43" s="354">
        <v>22748</v>
      </c>
      <c r="H43" s="355">
        <v>318</v>
      </c>
      <c r="I43" s="79"/>
    </row>
    <row r="44" spans="1:9">
      <c r="A44" s="53" t="str">
        <f>Titles!$A$12</f>
        <v>1 Data for 2020 and 2021 based on 2016 Census Definitions.</v>
      </c>
      <c r="B44" s="87"/>
      <c r="C44" s="408"/>
      <c r="D44" s="360"/>
      <c r="E44" s="54"/>
      <c r="F44" s="360"/>
      <c r="G44" s="360"/>
      <c r="H44" s="409"/>
      <c r="I44" s="79"/>
    </row>
    <row r="45" spans="1:9" s="347" customFormat="1" ht="10.9" customHeight="1">
      <c r="A45" s="402" t="s">
        <v>118</v>
      </c>
      <c r="B45" s="348"/>
      <c r="C45" s="348"/>
      <c r="D45" s="348"/>
      <c r="E45" s="401"/>
      <c r="F45" s="346"/>
      <c r="G45" s="346"/>
      <c r="H45" s="346"/>
    </row>
    <row r="46" spans="1:9" s="347" customFormat="1" ht="10.9" customHeight="1">
      <c r="A46" s="361" t="str">
        <f>Titles!$A$10</f>
        <v>Source: CMHC Starts and Completion Survey, Market Absorption Survey</v>
      </c>
      <c r="B46" s="348"/>
      <c r="C46" s="348"/>
      <c r="D46" s="348"/>
      <c r="E46" s="362"/>
      <c r="F46" s="348"/>
      <c r="G46" s="348"/>
      <c r="H46" s="348"/>
    </row>
    <row r="47" spans="1:9" ht="12" customHeight="1">
      <c r="A47" s="94"/>
      <c r="B47" s="93"/>
      <c r="C47" s="93"/>
      <c r="D47" s="177"/>
      <c r="E47" s="362"/>
      <c r="F47" s="177"/>
      <c r="G47" s="202"/>
      <c r="H47" s="93"/>
      <c r="I47" s="13"/>
    </row>
    <row r="48" spans="1:9" ht="9.75" customHeight="1">
      <c r="A48" s="94"/>
      <c r="B48" s="93"/>
      <c r="C48" s="93"/>
      <c r="D48" s="177"/>
      <c r="E48" s="177"/>
      <c r="F48" s="177"/>
      <c r="G48" s="202"/>
      <c r="H48" s="93"/>
      <c r="I48" s="13"/>
    </row>
    <row r="60" spans="1:6">
      <c r="A60" s="53"/>
      <c r="B60" s="84"/>
      <c r="C60" s="408"/>
      <c r="D60" s="409"/>
      <c r="E60" s="409"/>
      <c r="F60" s="54"/>
    </row>
    <row r="61" spans="1:6" ht="15">
      <c r="A61" s="53"/>
      <c r="B61" s="178"/>
      <c r="C61" s="178"/>
      <c r="D61" s="178"/>
      <c r="E61" s="178"/>
      <c r="F61" s="54"/>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61"/>
  <sheetViews>
    <sheetView zoomScaleNormal="100" workbookViewId="0"/>
  </sheetViews>
  <sheetFormatPr defaultColWidth="11.5546875" defaultRowHeight="12"/>
  <cols>
    <col min="1" max="1" width="8.77734375" style="12" customWidth="1"/>
    <col min="2" max="2" width="9.21875" style="12" customWidth="1"/>
    <col min="3" max="3" width="8.77734375" style="12" customWidth="1"/>
    <col min="4" max="9" width="9.77734375" style="12" customWidth="1"/>
    <col min="10" max="16384" width="11.5546875" style="12"/>
  </cols>
  <sheetData>
    <row r="1" spans="1:10" s="185" customFormat="1" ht="15.95" customHeight="1">
      <c r="A1" s="493" t="s">
        <v>150</v>
      </c>
      <c r="B1" s="494"/>
      <c r="C1" s="494"/>
      <c r="D1" s="494"/>
      <c r="E1" s="494"/>
      <c r="F1" s="494"/>
      <c r="G1" s="494"/>
      <c r="H1" s="494"/>
      <c r="I1" s="495"/>
      <c r="J1" s="184"/>
    </row>
    <row r="2" spans="1:10" s="185" customFormat="1" ht="15.95" customHeight="1">
      <c r="A2" s="496" t="s">
        <v>166</v>
      </c>
      <c r="B2" s="497"/>
      <c r="C2" s="497"/>
      <c r="D2" s="497"/>
      <c r="E2" s="497"/>
      <c r="F2" s="497"/>
      <c r="G2" s="497"/>
      <c r="H2" s="497"/>
      <c r="I2" s="498"/>
      <c r="J2" s="184"/>
    </row>
    <row r="3" spans="1:10" s="185" customFormat="1" ht="15.95" customHeight="1" thickBot="1">
      <c r="A3" s="502"/>
      <c r="B3" s="503"/>
      <c r="C3" s="503"/>
      <c r="D3" s="503"/>
      <c r="E3" s="503"/>
      <c r="F3" s="503"/>
      <c r="G3" s="503"/>
      <c r="H3" s="503"/>
      <c r="I3" s="504"/>
      <c r="J3" s="184"/>
    </row>
    <row r="4" spans="1:10">
      <c r="A4" s="83"/>
      <c r="B4" s="92"/>
      <c r="C4" s="124"/>
      <c r="D4" s="126"/>
      <c r="E4" s="126"/>
      <c r="F4" s="126"/>
      <c r="G4" s="126"/>
      <c r="H4" s="126"/>
      <c r="I4" s="105"/>
      <c r="J4" s="79"/>
    </row>
    <row r="5" spans="1:10">
      <c r="A5" s="154" t="s">
        <v>75</v>
      </c>
      <c r="B5" s="148"/>
      <c r="C5" s="155"/>
      <c r="D5" s="156" t="s">
        <v>111</v>
      </c>
      <c r="E5" s="156" t="s">
        <v>24</v>
      </c>
      <c r="F5" s="156" t="s">
        <v>119</v>
      </c>
      <c r="G5" s="156" t="s">
        <v>32</v>
      </c>
      <c r="H5" s="156" t="s">
        <v>28</v>
      </c>
      <c r="I5" s="157" t="s">
        <v>40</v>
      </c>
      <c r="J5" s="79"/>
    </row>
    <row r="6" spans="1:10" ht="13.5">
      <c r="A6" s="137" t="s">
        <v>130</v>
      </c>
      <c r="B6" s="186"/>
      <c r="C6" s="191"/>
      <c r="D6" s="198">
        <v>7782</v>
      </c>
      <c r="E6" s="198">
        <v>1256</v>
      </c>
      <c r="F6" s="198">
        <v>591</v>
      </c>
      <c r="G6" s="198">
        <v>499</v>
      </c>
      <c r="H6" s="198">
        <v>1703</v>
      </c>
      <c r="I6" s="226">
        <v>30462</v>
      </c>
      <c r="J6" s="79"/>
    </row>
    <row r="7" spans="1:10" ht="13.5">
      <c r="A7" s="85" t="s">
        <v>139</v>
      </c>
      <c r="B7" s="152"/>
      <c r="C7" s="119"/>
      <c r="D7" s="423">
        <v>9950</v>
      </c>
      <c r="E7" s="423">
        <v>1041</v>
      </c>
      <c r="F7" s="423">
        <v>673</v>
      </c>
      <c r="G7" s="423">
        <v>528</v>
      </c>
      <c r="H7" s="423">
        <v>2666</v>
      </c>
      <c r="I7" s="424">
        <v>38587</v>
      </c>
      <c r="J7" s="79"/>
    </row>
    <row r="8" spans="1:10">
      <c r="A8" s="314" t="s">
        <v>122</v>
      </c>
      <c r="B8" s="111" t="s">
        <v>63</v>
      </c>
      <c r="C8" s="173"/>
      <c r="D8" s="198">
        <v>3280.0000000000005</v>
      </c>
      <c r="E8" s="198">
        <v>2598</v>
      </c>
      <c r="F8" s="198">
        <v>366</v>
      </c>
      <c r="G8" s="198">
        <v>144</v>
      </c>
      <c r="H8" s="198">
        <v>813</v>
      </c>
      <c r="I8" s="226">
        <v>39433</v>
      </c>
      <c r="J8" s="79"/>
    </row>
    <row r="9" spans="1:10">
      <c r="A9" s="120"/>
      <c r="B9" s="115" t="s">
        <v>64</v>
      </c>
      <c r="C9" s="174"/>
      <c r="D9" s="198">
        <v>9469</v>
      </c>
      <c r="E9" s="198">
        <v>57</v>
      </c>
      <c r="F9" s="198">
        <v>241</v>
      </c>
      <c r="G9" s="198">
        <v>123</v>
      </c>
      <c r="H9" s="198">
        <v>402</v>
      </c>
      <c r="I9" s="226">
        <v>20820</v>
      </c>
      <c r="J9" s="79"/>
    </row>
    <row r="10" spans="1:10">
      <c r="A10" s="163"/>
      <c r="B10" s="164" t="s">
        <v>65</v>
      </c>
      <c r="C10" s="192"/>
      <c r="D10" s="198">
        <v>3844.0000000000005</v>
      </c>
      <c r="E10" s="198">
        <v>447.99999999999994</v>
      </c>
      <c r="F10" s="198">
        <v>592</v>
      </c>
      <c r="G10" s="198">
        <v>973</v>
      </c>
      <c r="H10" s="198">
        <v>808.99999999999989</v>
      </c>
      <c r="I10" s="226">
        <v>31881</v>
      </c>
      <c r="J10" s="79"/>
    </row>
    <row r="11" spans="1:10">
      <c r="A11" s="165"/>
      <c r="B11" s="115" t="s">
        <v>66</v>
      </c>
      <c r="C11" s="174"/>
      <c r="D11" s="198">
        <v>6348.9999999999991</v>
      </c>
      <c r="E11" s="198">
        <v>548</v>
      </c>
      <c r="F11" s="198">
        <v>386</v>
      </c>
      <c r="G11" s="198">
        <v>381</v>
      </c>
      <c r="H11" s="198">
        <v>426</v>
      </c>
      <c r="I11" s="226">
        <v>37930</v>
      </c>
      <c r="J11" s="79"/>
    </row>
    <row r="12" spans="1:10">
      <c r="A12" s="120"/>
      <c r="B12" s="115" t="s">
        <v>67</v>
      </c>
      <c r="C12" s="174"/>
      <c r="D12" s="198">
        <v>7455</v>
      </c>
      <c r="E12" s="198">
        <v>477</v>
      </c>
      <c r="F12" s="198">
        <v>608</v>
      </c>
      <c r="G12" s="198">
        <v>1288</v>
      </c>
      <c r="H12" s="198">
        <v>4078.0000000000005</v>
      </c>
      <c r="I12" s="226">
        <v>20127</v>
      </c>
      <c r="J12" s="79"/>
    </row>
    <row r="13" spans="1:10">
      <c r="A13" s="163"/>
      <c r="B13" s="164" t="s">
        <v>68</v>
      </c>
      <c r="C13" s="192"/>
      <c r="D13" s="198">
        <v>9180</v>
      </c>
      <c r="E13" s="198">
        <v>411</v>
      </c>
      <c r="F13" s="198">
        <v>814</v>
      </c>
      <c r="G13" s="198">
        <v>229</v>
      </c>
      <c r="H13" s="198">
        <v>2446</v>
      </c>
      <c r="I13" s="226">
        <v>34704</v>
      </c>
      <c r="J13" s="79"/>
    </row>
    <row r="14" spans="1:10">
      <c r="A14" s="163"/>
      <c r="B14" s="115" t="s">
        <v>69</v>
      </c>
      <c r="C14" s="174"/>
      <c r="D14" s="198">
        <v>6486</v>
      </c>
      <c r="E14" s="198">
        <v>994</v>
      </c>
      <c r="F14" s="198">
        <v>536</v>
      </c>
      <c r="G14" s="198">
        <v>1260</v>
      </c>
      <c r="H14" s="198">
        <v>1560</v>
      </c>
      <c r="I14" s="226">
        <v>32238</v>
      </c>
      <c r="J14" s="79"/>
    </row>
    <row r="15" spans="1:10">
      <c r="A15" s="120"/>
      <c r="B15" s="115" t="s">
        <v>70</v>
      </c>
      <c r="C15" s="174"/>
      <c r="D15" s="198">
        <v>6813.9999999999991</v>
      </c>
      <c r="E15" s="198">
        <v>3119</v>
      </c>
      <c r="F15" s="198">
        <v>748</v>
      </c>
      <c r="G15" s="198">
        <v>469</v>
      </c>
      <c r="H15" s="198">
        <v>1189</v>
      </c>
      <c r="I15" s="226">
        <v>36383</v>
      </c>
      <c r="J15" s="79"/>
    </row>
    <row r="16" spans="1:10">
      <c r="A16" s="120"/>
      <c r="B16" s="164" t="s">
        <v>71</v>
      </c>
      <c r="C16" s="192"/>
      <c r="D16" s="198">
        <v>14904</v>
      </c>
      <c r="E16" s="198">
        <v>4743</v>
      </c>
      <c r="F16" s="198">
        <v>647</v>
      </c>
      <c r="G16" s="198">
        <v>466.99999999999994</v>
      </c>
      <c r="H16" s="198">
        <v>1461</v>
      </c>
      <c r="I16" s="226">
        <v>32729</v>
      </c>
      <c r="J16" s="79"/>
    </row>
    <row r="17" spans="1:10">
      <c r="A17" s="120"/>
      <c r="B17" s="164" t="s">
        <v>72</v>
      </c>
      <c r="C17" s="192"/>
      <c r="D17" s="198">
        <v>7372</v>
      </c>
      <c r="E17" s="198">
        <v>647</v>
      </c>
      <c r="F17" s="198">
        <v>489.00000000000006</v>
      </c>
      <c r="G17" s="198">
        <v>567</v>
      </c>
      <c r="H17" s="198">
        <v>895</v>
      </c>
      <c r="I17" s="226">
        <v>32159.999999999996</v>
      </c>
      <c r="J17" s="79"/>
    </row>
    <row r="18" spans="1:10">
      <c r="A18" s="120"/>
      <c r="B18" s="164" t="s">
        <v>73</v>
      </c>
      <c r="C18" s="192"/>
      <c r="D18" s="448">
        <v>10788</v>
      </c>
      <c r="E18" s="448">
        <v>357</v>
      </c>
      <c r="F18" s="448">
        <v>653</v>
      </c>
      <c r="G18" s="448">
        <v>144</v>
      </c>
      <c r="H18" s="448">
        <v>1791</v>
      </c>
      <c r="I18" s="449">
        <v>24000.999999999996</v>
      </c>
      <c r="J18" s="79"/>
    </row>
    <row r="19" spans="1:10">
      <c r="A19" s="154"/>
      <c r="B19" s="152" t="s">
        <v>74</v>
      </c>
      <c r="C19" s="193"/>
      <c r="D19" s="316">
        <v>6930.0000000000009</v>
      </c>
      <c r="E19" s="316">
        <v>739</v>
      </c>
      <c r="F19" s="316">
        <v>865.99999999999989</v>
      </c>
      <c r="G19" s="316">
        <v>117</v>
      </c>
      <c r="H19" s="316">
        <v>3582.9999999999995</v>
      </c>
      <c r="I19" s="353">
        <v>22092</v>
      </c>
      <c r="J19" s="79"/>
    </row>
    <row r="20" spans="1:10">
      <c r="A20" s="302" t="s">
        <v>129</v>
      </c>
      <c r="B20" s="111" t="s">
        <v>63</v>
      </c>
      <c r="C20" s="173"/>
      <c r="D20" s="198">
        <v>5929</v>
      </c>
      <c r="E20" s="198">
        <v>310</v>
      </c>
      <c r="F20" s="198">
        <v>2066</v>
      </c>
      <c r="G20" s="198">
        <v>96</v>
      </c>
      <c r="H20" s="198">
        <v>824.00000000000011</v>
      </c>
      <c r="I20" s="226">
        <v>32366.999999999996</v>
      </c>
      <c r="J20" s="79"/>
    </row>
    <row r="21" spans="1:10">
      <c r="A21" s="120"/>
      <c r="B21" s="115" t="s">
        <v>64</v>
      </c>
      <c r="C21" s="174"/>
      <c r="D21" s="198">
        <v>11760.000000000002</v>
      </c>
      <c r="E21" s="198">
        <v>398</v>
      </c>
      <c r="F21" s="198">
        <v>624</v>
      </c>
      <c r="G21" s="198">
        <v>125</v>
      </c>
      <c r="H21" s="198">
        <v>2360.9999999999995</v>
      </c>
      <c r="I21" s="226">
        <v>31331.000000000004</v>
      </c>
      <c r="J21" s="79"/>
    </row>
    <row r="22" spans="1:10">
      <c r="A22" s="163"/>
      <c r="B22" s="164" t="s">
        <v>65</v>
      </c>
      <c r="C22" s="192"/>
      <c r="D22" s="198">
        <v>6849</v>
      </c>
      <c r="E22" s="198">
        <v>380.99999999999994</v>
      </c>
      <c r="F22" s="198">
        <v>438</v>
      </c>
      <c r="G22" s="198">
        <v>1765</v>
      </c>
      <c r="H22" s="198">
        <v>1375</v>
      </c>
      <c r="I22" s="226">
        <v>24461</v>
      </c>
      <c r="J22" s="79"/>
    </row>
    <row r="23" spans="1:10">
      <c r="A23" s="165"/>
      <c r="B23" s="115" t="s">
        <v>66</v>
      </c>
      <c r="C23" s="174"/>
      <c r="D23" s="198">
        <v>10381</v>
      </c>
      <c r="E23" s="198">
        <v>489</v>
      </c>
      <c r="F23" s="198">
        <v>657</v>
      </c>
      <c r="G23" s="198">
        <v>534</v>
      </c>
      <c r="H23" s="198">
        <v>1145</v>
      </c>
      <c r="I23" s="226">
        <v>60732</v>
      </c>
      <c r="J23" s="79"/>
    </row>
    <row r="24" spans="1:10">
      <c r="A24" s="120"/>
      <c r="B24" s="115" t="s">
        <v>67</v>
      </c>
      <c r="C24" s="174"/>
      <c r="D24" s="198">
        <v>7787.0000000000009</v>
      </c>
      <c r="E24" s="198">
        <v>2530</v>
      </c>
      <c r="F24" s="198">
        <v>294.00000000000006</v>
      </c>
      <c r="G24" s="198">
        <v>366</v>
      </c>
      <c r="H24" s="198">
        <v>1880.9999999999998</v>
      </c>
      <c r="I24" s="226">
        <v>29692.999999999996</v>
      </c>
      <c r="J24" s="79"/>
    </row>
    <row r="25" spans="1:10">
      <c r="A25" s="163"/>
      <c r="B25" s="164" t="s">
        <v>68</v>
      </c>
      <c r="C25" s="192"/>
      <c r="D25" s="198">
        <v>7265.9999999999991</v>
      </c>
      <c r="E25" s="198">
        <v>800</v>
      </c>
      <c r="F25" s="198">
        <v>371</v>
      </c>
      <c r="G25" s="198">
        <v>137</v>
      </c>
      <c r="H25" s="198">
        <v>1687</v>
      </c>
      <c r="I25" s="226">
        <v>39891.999999999993</v>
      </c>
      <c r="J25" s="79"/>
    </row>
    <row r="26" spans="1:10">
      <c r="A26" s="163"/>
      <c r="B26" s="115" t="s">
        <v>69</v>
      </c>
      <c r="C26" s="174"/>
      <c r="D26" s="198">
        <v>8019</v>
      </c>
      <c r="E26" s="198">
        <v>1230</v>
      </c>
      <c r="F26" s="198">
        <v>606</v>
      </c>
      <c r="G26" s="198">
        <v>206</v>
      </c>
      <c r="H26" s="198">
        <v>1644.0000000000002</v>
      </c>
      <c r="I26" s="226">
        <v>47772.999999999993</v>
      </c>
      <c r="J26" s="79"/>
    </row>
    <row r="27" spans="1:10">
      <c r="A27" s="120"/>
      <c r="B27" s="115" t="s">
        <v>70</v>
      </c>
      <c r="C27" s="174"/>
      <c r="D27" s="198">
        <v>18860</v>
      </c>
      <c r="E27" s="198">
        <v>960</v>
      </c>
      <c r="F27" s="198">
        <v>430</v>
      </c>
      <c r="G27" s="198">
        <v>1043</v>
      </c>
      <c r="H27" s="198">
        <v>8576</v>
      </c>
      <c r="I27" s="226">
        <v>61774</v>
      </c>
      <c r="J27" s="79"/>
    </row>
    <row r="28" spans="1:10">
      <c r="A28" s="120"/>
      <c r="B28" s="164" t="s">
        <v>71</v>
      </c>
      <c r="C28" s="192"/>
      <c r="D28" s="198">
        <v>12899.999999999998</v>
      </c>
      <c r="E28" s="198">
        <v>2623</v>
      </c>
      <c r="F28" s="198">
        <v>594.00000000000011</v>
      </c>
      <c r="G28" s="198">
        <v>198.99999999999997</v>
      </c>
      <c r="H28" s="198">
        <v>3640</v>
      </c>
      <c r="I28" s="226">
        <v>33171</v>
      </c>
      <c r="J28" s="79"/>
    </row>
    <row r="29" spans="1:10">
      <c r="A29" s="120"/>
      <c r="B29" s="164" t="s">
        <v>72</v>
      </c>
      <c r="C29" s="192"/>
      <c r="D29" s="198">
        <v>8437</v>
      </c>
      <c r="E29" s="198">
        <v>930.99999999999989</v>
      </c>
      <c r="F29" s="198">
        <v>1233</v>
      </c>
      <c r="G29" s="198">
        <v>1168</v>
      </c>
      <c r="H29" s="198">
        <v>3845.9999999999995</v>
      </c>
      <c r="I29" s="226">
        <v>36284</v>
      </c>
      <c r="J29" s="79"/>
    </row>
    <row r="30" spans="1:10">
      <c r="A30" s="120"/>
      <c r="B30" s="164" t="s">
        <v>73</v>
      </c>
      <c r="C30" s="192"/>
      <c r="D30" s="198">
        <v>12578</v>
      </c>
      <c r="E30" s="198">
        <v>1176</v>
      </c>
      <c r="F30" s="198">
        <v>551</v>
      </c>
      <c r="G30" s="198">
        <v>499</v>
      </c>
      <c r="H30" s="198">
        <v>2734</v>
      </c>
      <c r="I30" s="226">
        <v>34415.000000000007</v>
      </c>
      <c r="J30" s="79"/>
    </row>
    <row r="31" spans="1:10">
      <c r="A31" s="154"/>
      <c r="B31" s="152" t="s">
        <v>74</v>
      </c>
      <c r="C31" s="193"/>
      <c r="D31" s="228">
        <v>9425.9999999999982</v>
      </c>
      <c r="E31" s="228">
        <v>699.00000000000011</v>
      </c>
      <c r="F31" s="228">
        <v>626</v>
      </c>
      <c r="G31" s="228">
        <v>284</v>
      </c>
      <c r="H31" s="228">
        <v>2280.9999999999995</v>
      </c>
      <c r="I31" s="229">
        <v>31654</v>
      </c>
      <c r="J31" s="79"/>
    </row>
    <row r="32" spans="1:10">
      <c r="A32" s="302" t="s">
        <v>141</v>
      </c>
      <c r="B32" s="111" t="s">
        <v>63</v>
      </c>
      <c r="C32" s="173"/>
      <c r="D32" s="198">
        <v>7359</v>
      </c>
      <c r="E32" s="198">
        <v>1521</v>
      </c>
      <c r="F32" s="198">
        <v>332.99999999999994</v>
      </c>
      <c r="G32" s="198">
        <v>454</v>
      </c>
      <c r="H32" s="198">
        <v>2157</v>
      </c>
      <c r="I32" s="226">
        <v>36774</v>
      </c>
      <c r="J32" s="79"/>
    </row>
    <row r="33" spans="1:10">
      <c r="A33" s="120"/>
      <c r="B33" s="115" t="s">
        <v>64</v>
      </c>
      <c r="C33" s="174"/>
      <c r="D33" s="198">
        <v>11062.000000000002</v>
      </c>
      <c r="E33" s="198">
        <v>577</v>
      </c>
      <c r="F33" s="198">
        <v>654</v>
      </c>
      <c r="G33" s="198">
        <v>1982</v>
      </c>
      <c r="H33" s="198">
        <v>4447.9999999999991</v>
      </c>
      <c r="I33" s="226">
        <v>24380.000000000004</v>
      </c>
      <c r="J33" s="79"/>
    </row>
    <row r="34" spans="1:10">
      <c r="A34" s="163"/>
      <c r="B34" s="164" t="s">
        <v>65</v>
      </c>
      <c r="C34" s="192"/>
      <c r="D34" s="198">
        <v>12983</v>
      </c>
      <c r="E34" s="198">
        <v>3113</v>
      </c>
      <c r="F34" s="198">
        <v>522</v>
      </c>
      <c r="G34" s="198">
        <v>372</v>
      </c>
      <c r="H34" s="198">
        <v>5513</v>
      </c>
      <c r="I34" s="226">
        <v>63077</v>
      </c>
      <c r="J34" s="79"/>
    </row>
    <row r="35" spans="1:10">
      <c r="A35" s="165"/>
      <c r="B35" s="115" t="s">
        <v>66</v>
      </c>
      <c r="C35" s="174"/>
      <c r="D35" s="198">
        <v>11997</v>
      </c>
      <c r="E35" s="198">
        <v>661</v>
      </c>
      <c r="F35" s="198">
        <v>733.00000000000011</v>
      </c>
      <c r="G35" s="198">
        <v>246</v>
      </c>
      <c r="H35" s="198">
        <v>3257</v>
      </c>
      <c r="I35" s="226">
        <v>33442</v>
      </c>
      <c r="J35" s="79"/>
    </row>
    <row r="36" spans="1:10">
      <c r="A36" s="120"/>
      <c r="B36" s="115" t="s">
        <v>67</v>
      </c>
      <c r="C36" s="174"/>
      <c r="D36" s="198">
        <v>14318.999999999998</v>
      </c>
      <c r="E36" s="198">
        <v>608.00000000000011</v>
      </c>
      <c r="F36" s="198">
        <v>619</v>
      </c>
      <c r="G36" s="198">
        <v>271</v>
      </c>
      <c r="H36" s="198">
        <v>9491</v>
      </c>
      <c r="I36" s="226">
        <v>30776.000000000004</v>
      </c>
      <c r="J36" s="79"/>
    </row>
    <row r="37" spans="1:10">
      <c r="A37" s="163"/>
      <c r="B37" s="164" t="s">
        <v>68</v>
      </c>
      <c r="C37" s="192"/>
      <c r="D37" s="198">
        <v>6574</v>
      </c>
      <c r="E37" s="198">
        <v>563</v>
      </c>
      <c r="F37" s="198">
        <v>446</v>
      </c>
      <c r="G37" s="198">
        <v>235</v>
      </c>
      <c r="H37" s="198">
        <v>4728</v>
      </c>
      <c r="I37" s="226">
        <v>35921</v>
      </c>
      <c r="J37" s="79"/>
    </row>
    <row r="38" spans="1:10">
      <c r="A38" s="163"/>
      <c r="B38" s="115" t="s">
        <v>69</v>
      </c>
      <c r="C38" s="174"/>
      <c r="D38" s="198">
        <v>6966</v>
      </c>
      <c r="E38" s="198">
        <v>572.00000000000011</v>
      </c>
      <c r="F38" s="198">
        <v>424</v>
      </c>
      <c r="G38" s="198">
        <v>420</v>
      </c>
      <c r="H38" s="198">
        <v>3351</v>
      </c>
      <c r="I38" s="226">
        <v>46294</v>
      </c>
      <c r="J38" s="79"/>
    </row>
    <row r="39" spans="1:10">
      <c r="A39" s="120"/>
      <c r="B39" s="115" t="s">
        <v>70</v>
      </c>
      <c r="C39" s="174"/>
      <c r="D39" s="198">
        <v>9940.0000000000018</v>
      </c>
      <c r="E39" s="198">
        <v>623</v>
      </c>
      <c r="F39" s="198">
        <v>1015.0000000000001</v>
      </c>
      <c r="G39" s="198">
        <v>2277</v>
      </c>
      <c r="H39" s="198">
        <v>3286.0000000000005</v>
      </c>
      <c r="I39" s="226">
        <v>46472</v>
      </c>
      <c r="J39" s="79"/>
    </row>
    <row r="40" spans="1:10">
      <c r="A40" s="120"/>
      <c r="B40" s="164" t="s">
        <v>71</v>
      </c>
      <c r="C40" s="192"/>
      <c r="D40" s="198">
        <v>8868</v>
      </c>
      <c r="E40" s="198">
        <v>324</v>
      </c>
      <c r="F40" s="198">
        <v>368</v>
      </c>
      <c r="G40" s="198">
        <v>295</v>
      </c>
      <c r="H40" s="198">
        <v>3105</v>
      </c>
      <c r="I40" s="226">
        <v>55221</v>
      </c>
      <c r="J40" s="79"/>
    </row>
    <row r="41" spans="1:10">
      <c r="A41" s="120"/>
      <c r="B41" s="164" t="s">
        <v>72</v>
      </c>
      <c r="C41" s="192"/>
      <c r="D41" s="198">
        <v>13976</v>
      </c>
      <c r="E41" s="198">
        <v>675.99999999999989</v>
      </c>
      <c r="F41" s="198">
        <v>515</v>
      </c>
      <c r="G41" s="198">
        <v>172</v>
      </c>
      <c r="H41" s="198">
        <v>4232</v>
      </c>
      <c r="I41" s="226">
        <v>31889</v>
      </c>
      <c r="J41" s="79"/>
    </row>
    <row r="42" spans="1:10">
      <c r="A42" s="120"/>
      <c r="B42" s="164" t="s">
        <v>73</v>
      </c>
      <c r="C42" s="192"/>
      <c r="D42" s="448">
        <v>16103.000000000002</v>
      </c>
      <c r="E42" s="448">
        <v>6774.9999999999991</v>
      </c>
      <c r="F42" s="448">
        <v>383.00000000000006</v>
      </c>
      <c r="G42" s="448">
        <v>337</v>
      </c>
      <c r="H42" s="448">
        <v>2203</v>
      </c>
      <c r="I42" s="449">
        <v>70711</v>
      </c>
      <c r="J42" s="79"/>
    </row>
    <row r="43" spans="1:10" ht="12.75" thickBot="1">
      <c r="A43" s="90"/>
      <c r="B43" s="166" t="s">
        <v>74</v>
      </c>
      <c r="C43" s="194"/>
      <c r="D43" s="354">
        <v>4690</v>
      </c>
      <c r="E43" s="354">
        <v>565</v>
      </c>
      <c r="F43" s="354">
        <v>406</v>
      </c>
      <c r="G43" s="354">
        <v>437</v>
      </c>
      <c r="H43" s="354">
        <v>798.99999999999989</v>
      </c>
      <c r="I43" s="355">
        <v>29637</v>
      </c>
      <c r="J43" s="79"/>
    </row>
    <row r="44" spans="1:10">
      <c r="A44" s="53" t="str">
        <f>Titles!$A$12</f>
        <v>1 Data for 2020 and 2021 based on 2016 Census Definitions.</v>
      </c>
      <c r="B44" s="87"/>
      <c r="C44" s="408"/>
      <c r="D44" s="360"/>
      <c r="E44" s="198" t="s">
        <v>52</v>
      </c>
      <c r="F44" s="54"/>
      <c r="G44" s="360"/>
      <c r="H44" s="360"/>
      <c r="I44" s="79"/>
    </row>
    <row r="45" spans="1:10" s="347" customFormat="1">
      <c r="A45" s="402" t="s">
        <v>118</v>
      </c>
      <c r="B45" s="348"/>
      <c r="C45" s="348"/>
      <c r="D45" s="348"/>
      <c r="E45" s="198" t="s">
        <v>52</v>
      </c>
      <c r="F45" s="401"/>
      <c r="G45" s="346"/>
      <c r="H45" s="346"/>
    </row>
    <row r="46" spans="1:10" s="347" customFormat="1">
      <c r="A46" s="361" t="str">
        <f>Titles!$A$10</f>
        <v>Source: CMHC Starts and Completion Survey, Market Absorption Survey</v>
      </c>
      <c r="B46" s="348"/>
      <c r="C46" s="348"/>
      <c r="D46" s="348"/>
      <c r="E46" s="198" t="s">
        <v>52</v>
      </c>
      <c r="F46" s="362"/>
      <c r="G46" s="348"/>
      <c r="H46" s="348"/>
    </row>
    <row r="47" spans="1:10" ht="12" customHeight="1">
      <c r="A47" s="94"/>
      <c r="B47" s="93"/>
      <c r="C47" s="93"/>
      <c r="D47" s="177"/>
      <c r="E47" s="177"/>
      <c r="F47" s="177"/>
      <c r="G47" s="177"/>
      <c r="H47" s="202"/>
      <c r="I47" s="93"/>
      <c r="J47" s="13"/>
    </row>
    <row r="48" spans="1:10" ht="9.75" customHeight="1">
      <c r="A48" s="94"/>
      <c r="B48" s="93"/>
      <c r="C48" s="93"/>
      <c r="D48" s="177"/>
      <c r="E48" s="177"/>
      <c r="F48" s="177"/>
      <c r="G48" s="177"/>
      <c r="H48" s="202"/>
      <c r="I48" s="93"/>
      <c r="J48" s="13"/>
    </row>
    <row r="60" spans="1:7">
      <c r="A60" s="53"/>
      <c r="B60" s="84"/>
      <c r="C60" s="408"/>
      <c r="D60" s="409"/>
      <c r="E60" s="409"/>
      <c r="F60" s="409"/>
      <c r="G60" s="54"/>
    </row>
    <row r="61" spans="1:7" ht="15">
      <c r="A61" s="53"/>
      <c r="B61" s="178"/>
      <c r="C61" s="178"/>
      <c r="D61" s="178"/>
      <c r="E61" s="178"/>
      <c r="F61" s="178"/>
      <c r="G61" s="54"/>
    </row>
  </sheetData>
  <pageMargins left="0.7" right="0.7" top="0.75" bottom="0.75" header="0.3" footer="0.3"/>
  <pageSetup scale="88"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62"/>
  <sheetViews>
    <sheetView zoomScaleNormal="100" workbookViewId="0"/>
  </sheetViews>
  <sheetFormatPr defaultColWidth="11.5546875" defaultRowHeight="12"/>
  <cols>
    <col min="1" max="1" width="8.77734375" style="12" customWidth="1"/>
    <col min="2" max="2" width="9.21875" style="12" customWidth="1"/>
    <col min="3" max="3" width="8.77734375" style="12" customWidth="1"/>
    <col min="4" max="8" width="9.77734375" style="12" customWidth="1"/>
    <col min="9" max="16384" width="11.5546875" style="12"/>
  </cols>
  <sheetData>
    <row r="1" spans="1:9" s="185" customFormat="1" ht="15.95" customHeight="1">
      <c r="A1" s="493" t="s">
        <v>151</v>
      </c>
      <c r="B1" s="494"/>
      <c r="C1" s="494"/>
      <c r="D1" s="494"/>
      <c r="E1" s="494"/>
      <c r="F1" s="494"/>
      <c r="G1" s="494"/>
      <c r="H1" s="495"/>
      <c r="I1" s="184"/>
    </row>
    <row r="2" spans="1:9" s="185" customFormat="1" ht="15.95" customHeight="1">
      <c r="A2" s="496" t="s">
        <v>166</v>
      </c>
      <c r="B2" s="497"/>
      <c r="C2" s="497"/>
      <c r="D2" s="497"/>
      <c r="E2" s="497"/>
      <c r="F2" s="497"/>
      <c r="G2" s="497"/>
      <c r="H2" s="498"/>
      <c r="I2" s="184"/>
    </row>
    <row r="3" spans="1:9" s="185" customFormat="1" ht="15.95" customHeight="1" thickBot="1">
      <c r="A3" s="502"/>
      <c r="B3" s="539"/>
      <c r="C3" s="539"/>
      <c r="D3" s="539"/>
      <c r="E3" s="539"/>
      <c r="F3" s="539"/>
      <c r="G3" s="539"/>
      <c r="H3" s="540"/>
      <c r="I3" s="184"/>
    </row>
    <row r="4" spans="1:9" ht="38.25" customHeight="1">
      <c r="A4" s="83"/>
      <c r="B4" s="92"/>
      <c r="C4" s="124"/>
      <c r="D4" s="551" t="s">
        <v>22</v>
      </c>
      <c r="E4" s="551" t="s">
        <v>112</v>
      </c>
      <c r="F4" s="551" t="s">
        <v>107</v>
      </c>
      <c r="G4" s="551" t="s">
        <v>17</v>
      </c>
      <c r="H4" s="672" t="s">
        <v>20</v>
      </c>
      <c r="I4" s="79"/>
    </row>
    <row r="5" spans="1:9">
      <c r="A5" s="154" t="s">
        <v>96</v>
      </c>
      <c r="B5" s="148"/>
      <c r="C5" s="155"/>
      <c r="D5" s="552"/>
      <c r="E5" s="552"/>
      <c r="F5" s="552"/>
      <c r="G5" s="552"/>
      <c r="H5" s="673"/>
      <c r="I5" s="79"/>
    </row>
    <row r="6" spans="1:9" ht="13.5">
      <c r="A6" s="137" t="s">
        <v>130</v>
      </c>
      <c r="B6" s="186"/>
      <c r="C6" s="191"/>
      <c r="D6" s="198">
        <v>3204</v>
      </c>
      <c r="E6" s="198">
        <v>2785</v>
      </c>
      <c r="F6" s="198">
        <v>5477</v>
      </c>
      <c r="G6" s="198">
        <v>586</v>
      </c>
      <c r="H6" s="226">
        <v>907</v>
      </c>
      <c r="I6" s="79"/>
    </row>
    <row r="7" spans="1:9" ht="13.5">
      <c r="A7" s="85" t="s">
        <v>140</v>
      </c>
      <c r="B7" s="152"/>
      <c r="C7" s="119"/>
      <c r="D7" s="423">
        <v>3431</v>
      </c>
      <c r="E7" s="423">
        <v>2466</v>
      </c>
      <c r="F7" s="423">
        <v>3749</v>
      </c>
      <c r="G7" s="423">
        <v>1188</v>
      </c>
      <c r="H7" s="424">
        <v>584</v>
      </c>
      <c r="I7" s="79"/>
    </row>
    <row r="8" spans="1:9">
      <c r="A8" s="314" t="s">
        <v>122</v>
      </c>
      <c r="B8" s="111" t="s">
        <v>63</v>
      </c>
      <c r="C8" s="173"/>
      <c r="D8" s="198">
        <v>4074</v>
      </c>
      <c r="E8" s="198">
        <v>1809.0000000000002</v>
      </c>
      <c r="F8" s="198">
        <v>2657</v>
      </c>
      <c r="G8" s="198">
        <v>154</v>
      </c>
      <c r="H8" s="226">
        <v>435</v>
      </c>
      <c r="I8" s="79"/>
    </row>
    <row r="9" spans="1:9">
      <c r="A9" s="120"/>
      <c r="B9" s="115" t="s">
        <v>64</v>
      </c>
      <c r="C9" s="174"/>
      <c r="D9" s="198">
        <v>1898.0000000000002</v>
      </c>
      <c r="E9" s="198">
        <v>2117</v>
      </c>
      <c r="F9" s="198">
        <v>1080</v>
      </c>
      <c r="G9" s="198">
        <v>405</v>
      </c>
      <c r="H9" s="226">
        <v>2136</v>
      </c>
      <c r="I9" s="79"/>
    </row>
    <row r="10" spans="1:9">
      <c r="A10" s="163"/>
      <c r="B10" s="164" t="s">
        <v>65</v>
      </c>
      <c r="C10" s="192"/>
      <c r="D10" s="198">
        <v>2119</v>
      </c>
      <c r="E10" s="198">
        <v>3332.0000000000005</v>
      </c>
      <c r="F10" s="198">
        <v>1374</v>
      </c>
      <c r="G10" s="198">
        <v>485</v>
      </c>
      <c r="H10" s="226">
        <v>175</v>
      </c>
      <c r="I10" s="79"/>
    </row>
    <row r="11" spans="1:9">
      <c r="A11" s="165"/>
      <c r="B11" s="115" t="s">
        <v>66</v>
      </c>
      <c r="C11" s="174"/>
      <c r="D11" s="198">
        <v>5621</v>
      </c>
      <c r="E11" s="198">
        <v>3723</v>
      </c>
      <c r="F11" s="198">
        <v>14041</v>
      </c>
      <c r="G11" s="198">
        <v>457.99999999999994</v>
      </c>
      <c r="H11" s="226">
        <v>312</v>
      </c>
      <c r="I11" s="79"/>
    </row>
    <row r="12" spans="1:9">
      <c r="A12" s="120"/>
      <c r="B12" s="115" t="s">
        <v>67</v>
      </c>
      <c r="C12" s="174"/>
      <c r="D12" s="198">
        <v>2924</v>
      </c>
      <c r="E12" s="198">
        <v>2450</v>
      </c>
      <c r="F12" s="198">
        <v>1740</v>
      </c>
      <c r="G12" s="198">
        <v>252</v>
      </c>
      <c r="H12" s="226">
        <v>481</v>
      </c>
      <c r="I12" s="79"/>
    </row>
    <row r="13" spans="1:9">
      <c r="A13" s="163"/>
      <c r="B13" s="164" t="s">
        <v>68</v>
      </c>
      <c r="C13" s="192"/>
      <c r="D13" s="198">
        <v>1775</v>
      </c>
      <c r="E13" s="198">
        <v>1808.0000000000002</v>
      </c>
      <c r="F13" s="198">
        <v>3843</v>
      </c>
      <c r="G13" s="198">
        <v>157</v>
      </c>
      <c r="H13" s="226">
        <v>518</v>
      </c>
      <c r="I13" s="79"/>
    </row>
    <row r="14" spans="1:9">
      <c r="A14" s="163"/>
      <c r="B14" s="115" t="s">
        <v>69</v>
      </c>
      <c r="C14" s="174"/>
      <c r="D14" s="198">
        <v>1443</v>
      </c>
      <c r="E14" s="198">
        <v>1339</v>
      </c>
      <c r="F14" s="198">
        <v>5143.0000000000009</v>
      </c>
      <c r="G14" s="198">
        <v>1113.9999999999998</v>
      </c>
      <c r="H14" s="226">
        <v>910</v>
      </c>
      <c r="I14" s="79"/>
    </row>
    <row r="15" spans="1:9">
      <c r="A15" s="120"/>
      <c r="B15" s="115" t="s">
        <v>70</v>
      </c>
      <c r="C15" s="174"/>
      <c r="D15" s="198">
        <v>2234</v>
      </c>
      <c r="E15" s="198">
        <v>2909</v>
      </c>
      <c r="F15" s="198">
        <v>10107</v>
      </c>
      <c r="G15" s="198">
        <v>479</v>
      </c>
      <c r="H15" s="226">
        <v>2623</v>
      </c>
      <c r="I15" s="79"/>
    </row>
    <row r="16" spans="1:9">
      <c r="A16" s="120"/>
      <c r="B16" s="164" t="s">
        <v>71</v>
      </c>
      <c r="C16" s="192"/>
      <c r="D16" s="198">
        <v>2242</v>
      </c>
      <c r="E16" s="198">
        <v>4918</v>
      </c>
      <c r="F16" s="198">
        <v>8045</v>
      </c>
      <c r="G16" s="198">
        <v>1376</v>
      </c>
      <c r="H16" s="226">
        <v>1527.0000000000002</v>
      </c>
      <c r="I16" s="79"/>
    </row>
    <row r="17" spans="1:9">
      <c r="A17" s="120"/>
      <c r="B17" s="164" t="s">
        <v>72</v>
      </c>
      <c r="C17" s="192"/>
      <c r="D17" s="198">
        <v>8569</v>
      </c>
      <c r="E17" s="198">
        <v>2909</v>
      </c>
      <c r="F17" s="198">
        <v>5781</v>
      </c>
      <c r="G17" s="198">
        <v>449</v>
      </c>
      <c r="H17" s="226">
        <v>713</v>
      </c>
      <c r="I17" s="79"/>
    </row>
    <row r="18" spans="1:9">
      <c r="A18" s="120"/>
      <c r="B18" s="164" t="s">
        <v>73</v>
      </c>
      <c r="C18" s="192"/>
      <c r="D18" s="198">
        <v>4343</v>
      </c>
      <c r="E18" s="198">
        <v>3170</v>
      </c>
      <c r="F18" s="198">
        <v>5001</v>
      </c>
      <c r="G18" s="198">
        <v>796</v>
      </c>
      <c r="H18" s="226">
        <v>598</v>
      </c>
      <c r="I18" s="79"/>
    </row>
    <row r="19" spans="1:9">
      <c r="A19" s="154"/>
      <c r="B19" s="152" t="s">
        <v>74</v>
      </c>
      <c r="C19" s="193"/>
      <c r="D19" s="228">
        <v>839</v>
      </c>
      <c r="E19" s="228">
        <v>3039</v>
      </c>
      <c r="F19" s="228">
        <v>7130.0000000000009</v>
      </c>
      <c r="G19" s="228">
        <v>578.00000000000011</v>
      </c>
      <c r="H19" s="229">
        <v>255</v>
      </c>
      <c r="I19" s="79"/>
    </row>
    <row r="20" spans="1:9">
      <c r="A20" s="302" t="s">
        <v>129</v>
      </c>
      <c r="B20" s="111" t="s">
        <v>63</v>
      </c>
      <c r="C20" s="173"/>
      <c r="D20" s="198">
        <v>1700</v>
      </c>
      <c r="E20" s="198">
        <v>2115.9999999999995</v>
      </c>
      <c r="F20" s="198">
        <v>4730</v>
      </c>
      <c r="G20" s="198">
        <v>536.99999999999989</v>
      </c>
      <c r="H20" s="226">
        <v>668</v>
      </c>
      <c r="I20" s="79"/>
    </row>
    <row r="21" spans="1:9">
      <c r="A21" s="120"/>
      <c r="B21" s="115" t="s">
        <v>64</v>
      </c>
      <c r="C21" s="174"/>
      <c r="D21" s="198">
        <v>7073</v>
      </c>
      <c r="E21" s="198">
        <v>2729</v>
      </c>
      <c r="F21" s="198">
        <v>3678</v>
      </c>
      <c r="G21" s="198">
        <v>486</v>
      </c>
      <c r="H21" s="226">
        <v>137</v>
      </c>
      <c r="I21" s="79"/>
    </row>
    <row r="22" spans="1:9">
      <c r="A22" s="163"/>
      <c r="B22" s="164" t="s">
        <v>65</v>
      </c>
      <c r="C22" s="192"/>
      <c r="D22" s="198">
        <v>1448</v>
      </c>
      <c r="E22" s="198">
        <v>1523</v>
      </c>
      <c r="F22" s="198">
        <v>5377.0000000000009</v>
      </c>
      <c r="G22" s="198">
        <v>808.99999999999989</v>
      </c>
      <c r="H22" s="226">
        <v>1451</v>
      </c>
      <c r="I22" s="79"/>
    </row>
    <row r="23" spans="1:9">
      <c r="A23" s="165"/>
      <c r="B23" s="115" t="s">
        <v>66</v>
      </c>
      <c r="C23" s="174"/>
      <c r="D23" s="198">
        <v>892</v>
      </c>
      <c r="E23" s="198">
        <v>1399</v>
      </c>
      <c r="F23" s="198">
        <v>1065</v>
      </c>
      <c r="G23" s="198">
        <v>2025</v>
      </c>
      <c r="H23" s="226">
        <v>242</v>
      </c>
      <c r="I23" s="79"/>
    </row>
    <row r="24" spans="1:9">
      <c r="A24" s="120"/>
      <c r="B24" s="115" t="s">
        <v>67</v>
      </c>
      <c r="C24" s="174"/>
      <c r="D24" s="198">
        <v>1212</v>
      </c>
      <c r="E24" s="198">
        <v>1293</v>
      </c>
      <c r="F24" s="198">
        <v>1569.9999999999998</v>
      </c>
      <c r="G24" s="198">
        <v>675.99999999999989</v>
      </c>
      <c r="H24" s="226">
        <v>249</v>
      </c>
      <c r="I24" s="79"/>
    </row>
    <row r="25" spans="1:9">
      <c r="A25" s="163"/>
      <c r="B25" s="164" t="s">
        <v>68</v>
      </c>
      <c r="C25" s="192"/>
      <c r="D25" s="198">
        <v>2726</v>
      </c>
      <c r="E25" s="198">
        <v>4365</v>
      </c>
      <c r="F25" s="198">
        <v>7417</v>
      </c>
      <c r="G25" s="198">
        <v>902</v>
      </c>
      <c r="H25" s="226">
        <v>258</v>
      </c>
      <c r="I25" s="79"/>
    </row>
    <row r="26" spans="1:9">
      <c r="A26" s="163"/>
      <c r="B26" s="115" t="s">
        <v>69</v>
      </c>
      <c r="C26" s="174"/>
      <c r="D26" s="198">
        <v>6947</v>
      </c>
      <c r="E26" s="198">
        <v>3100</v>
      </c>
      <c r="F26" s="198">
        <v>2296.9999999999995</v>
      </c>
      <c r="G26" s="198">
        <v>1214</v>
      </c>
      <c r="H26" s="226">
        <v>211</v>
      </c>
      <c r="I26" s="79"/>
    </row>
    <row r="27" spans="1:9">
      <c r="A27" s="120"/>
      <c r="B27" s="115" t="s">
        <v>70</v>
      </c>
      <c r="C27" s="174"/>
      <c r="D27" s="198">
        <v>3544</v>
      </c>
      <c r="E27" s="198">
        <v>2266</v>
      </c>
      <c r="F27" s="198">
        <v>2332.9999999999995</v>
      </c>
      <c r="G27" s="198">
        <v>1444</v>
      </c>
      <c r="H27" s="226">
        <v>182</v>
      </c>
      <c r="I27" s="79"/>
    </row>
    <row r="28" spans="1:9">
      <c r="A28" s="120"/>
      <c r="B28" s="164" t="s">
        <v>71</v>
      </c>
      <c r="C28" s="192"/>
      <c r="D28" s="198">
        <v>2708.9999999999995</v>
      </c>
      <c r="E28" s="198">
        <v>1786</v>
      </c>
      <c r="F28" s="198">
        <v>7740</v>
      </c>
      <c r="G28" s="198">
        <v>1139</v>
      </c>
      <c r="H28" s="226">
        <v>235</v>
      </c>
      <c r="I28" s="79"/>
    </row>
    <row r="29" spans="1:9">
      <c r="A29" s="120"/>
      <c r="B29" s="164" t="s">
        <v>72</v>
      </c>
      <c r="C29" s="192"/>
      <c r="D29" s="198">
        <v>6202</v>
      </c>
      <c r="E29" s="198">
        <v>3690</v>
      </c>
      <c r="F29" s="198">
        <v>2913.9999999999995</v>
      </c>
      <c r="G29" s="198">
        <v>1577.9999999999998</v>
      </c>
      <c r="H29" s="226">
        <v>1670</v>
      </c>
      <c r="I29" s="79"/>
    </row>
    <row r="30" spans="1:9">
      <c r="A30" s="120"/>
      <c r="B30" s="164" t="s">
        <v>73</v>
      </c>
      <c r="C30" s="192"/>
      <c r="D30" s="198">
        <v>2478</v>
      </c>
      <c r="E30" s="198">
        <v>2351</v>
      </c>
      <c r="F30" s="198">
        <v>2207.9999999999995</v>
      </c>
      <c r="G30" s="198">
        <v>1684.9999999999998</v>
      </c>
      <c r="H30" s="226">
        <v>438.99999999999994</v>
      </c>
      <c r="I30" s="79"/>
    </row>
    <row r="31" spans="1:9">
      <c r="A31" s="154"/>
      <c r="B31" s="152" t="s">
        <v>74</v>
      </c>
      <c r="C31" s="193"/>
      <c r="D31" s="228">
        <v>4147</v>
      </c>
      <c r="E31" s="228">
        <v>2953</v>
      </c>
      <c r="F31" s="228">
        <v>3679.0000000000005</v>
      </c>
      <c r="G31" s="228">
        <v>1483</v>
      </c>
      <c r="H31" s="229">
        <v>1364</v>
      </c>
      <c r="I31" s="79"/>
    </row>
    <row r="32" spans="1:9">
      <c r="A32" s="302" t="s">
        <v>141</v>
      </c>
      <c r="B32" s="111" t="s">
        <v>63</v>
      </c>
      <c r="C32" s="173"/>
      <c r="D32" s="198">
        <v>2418</v>
      </c>
      <c r="E32" s="198">
        <v>2421.9999999999995</v>
      </c>
      <c r="F32" s="198">
        <v>10358</v>
      </c>
      <c r="G32" s="198">
        <v>2239</v>
      </c>
      <c r="H32" s="226">
        <v>307</v>
      </c>
      <c r="I32" s="79"/>
    </row>
    <row r="33" spans="1:9">
      <c r="A33" s="120"/>
      <c r="B33" s="115" t="s">
        <v>64</v>
      </c>
      <c r="C33" s="174"/>
      <c r="D33" s="198">
        <v>7973</v>
      </c>
      <c r="E33" s="198">
        <v>2094.9999999999995</v>
      </c>
      <c r="F33" s="198">
        <v>1258</v>
      </c>
      <c r="G33" s="198">
        <v>1256</v>
      </c>
      <c r="H33" s="226">
        <v>852</v>
      </c>
      <c r="I33" s="79"/>
    </row>
    <row r="34" spans="1:9">
      <c r="A34" s="163"/>
      <c r="B34" s="164" t="s">
        <v>65</v>
      </c>
      <c r="C34" s="192"/>
      <c r="D34" s="198">
        <v>1587</v>
      </c>
      <c r="E34" s="198">
        <v>3732</v>
      </c>
      <c r="F34" s="198">
        <v>4401</v>
      </c>
      <c r="G34" s="198">
        <v>419.00000000000006</v>
      </c>
      <c r="H34" s="226">
        <v>322</v>
      </c>
      <c r="I34" s="79"/>
    </row>
    <row r="35" spans="1:9">
      <c r="A35" s="165"/>
      <c r="B35" s="115" t="s">
        <v>66</v>
      </c>
      <c r="C35" s="174"/>
      <c r="D35" s="198">
        <v>6275</v>
      </c>
      <c r="E35" s="198">
        <v>2545.0000000000005</v>
      </c>
      <c r="F35" s="198">
        <v>10742.999999999998</v>
      </c>
      <c r="G35" s="198">
        <v>535.99999999999989</v>
      </c>
      <c r="H35" s="226">
        <v>1673</v>
      </c>
      <c r="I35" s="79"/>
    </row>
    <row r="36" spans="1:9">
      <c r="A36" s="120"/>
      <c r="B36" s="115" t="s">
        <v>67</v>
      </c>
      <c r="C36" s="174"/>
      <c r="D36" s="198">
        <v>3972</v>
      </c>
      <c r="E36" s="198">
        <v>3397.9999999999995</v>
      </c>
      <c r="F36" s="198">
        <v>6425</v>
      </c>
      <c r="G36" s="198">
        <v>1106</v>
      </c>
      <c r="H36" s="226">
        <v>219.00000000000003</v>
      </c>
      <c r="I36" s="79"/>
    </row>
    <row r="37" spans="1:9">
      <c r="A37" s="163"/>
      <c r="B37" s="164" t="s">
        <v>68</v>
      </c>
      <c r="C37" s="192"/>
      <c r="D37" s="198">
        <v>4780</v>
      </c>
      <c r="E37" s="198">
        <v>1666.9999999999998</v>
      </c>
      <c r="F37" s="198">
        <v>3118</v>
      </c>
      <c r="G37" s="198">
        <v>373</v>
      </c>
      <c r="H37" s="226">
        <v>2128</v>
      </c>
      <c r="I37" s="79"/>
    </row>
    <row r="38" spans="1:9">
      <c r="A38" s="163"/>
      <c r="B38" s="115" t="s">
        <v>69</v>
      </c>
      <c r="C38" s="174"/>
      <c r="D38" s="198">
        <v>2909</v>
      </c>
      <c r="E38" s="198">
        <v>2232</v>
      </c>
      <c r="F38" s="198">
        <v>6000.9999999999991</v>
      </c>
      <c r="G38" s="198">
        <v>117</v>
      </c>
      <c r="H38" s="226">
        <v>2082</v>
      </c>
      <c r="I38" s="79"/>
    </row>
    <row r="39" spans="1:9">
      <c r="A39" s="120"/>
      <c r="B39" s="115" t="s">
        <v>70</v>
      </c>
      <c r="C39" s="174"/>
      <c r="D39" s="198">
        <v>8229</v>
      </c>
      <c r="E39" s="198">
        <v>2132</v>
      </c>
      <c r="F39" s="198">
        <v>5551</v>
      </c>
      <c r="G39" s="198">
        <v>2819</v>
      </c>
      <c r="H39" s="226">
        <v>321.99999999999994</v>
      </c>
      <c r="I39" s="79"/>
    </row>
    <row r="40" spans="1:9">
      <c r="A40" s="120"/>
      <c r="B40" s="164" t="s">
        <v>71</v>
      </c>
      <c r="C40" s="192"/>
      <c r="D40" s="198">
        <v>954</v>
      </c>
      <c r="E40" s="198">
        <v>3997</v>
      </c>
      <c r="F40" s="198">
        <v>2706</v>
      </c>
      <c r="G40" s="198">
        <v>115</v>
      </c>
      <c r="H40" s="226">
        <v>202</v>
      </c>
      <c r="I40" s="79"/>
    </row>
    <row r="41" spans="1:9">
      <c r="A41" s="120"/>
      <c r="B41" s="164" t="s">
        <v>72</v>
      </c>
      <c r="C41" s="192"/>
      <c r="D41" s="198">
        <v>1025.9999999999998</v>
      </c>
      <c r="E41" s="198">
        <v>3207</v>
      </c>
      <c r="F41" s="198">
        <v>7266</v>
      </c>
      <c r="G41" s="198">
        <v>222</v>
      </c>
      <c r="H41" s="226">
        <v>211.00000000000003</v>
      </c>
      <c r="I41" s="79"/>
    </row>
    <row r="42" spans="1:9">
      <c r="A42" s="120"/>
      <c r="B42" s="164" t="s">
        <v>73</v>
      </c>
      <c r="C42" s="192"/>
      <c r="D42" s="448">
        <v>6531.0000000000009</v>
      </c>
      <c r="E42" s="448">
        <v>2636</v>
      </c>
      <c r="F42" s="448">
        <v>3224</v>
      </c>
      <c r="G42" s="448">
        <v>4485</v>
      </c>
      <c r="H42" s="449">
        <v>429</v>
      </c>
      <c r="I42" s="79"/>
    </row>
    <row r="43" spans="1:9" ht="12.75" thickBot="1">
      <c r="A43" s="90"/>
      <c r="B43" s="166" t="s">
        <v>74</v>
      </c>
      <c r="C43" s="194"/>
      <c r="D43" s="354">
        <v>3855.0000000000005</v>
      </c>
      <c r="E43" s="354">
        <v>2039.0000000000002</v>
      </c>
      <c r="F43" s="354">
        <v>6242.0000000000009</v>
      </c>
      <c r="G43" s="354">
        <v>2541</v>
      </c>
      <c r="H43" s="355">
        <v>508</v>
      </c>
      <c r="I43" s="79"/>
    </row>
    <row r="44" spans="1:9">
      <c r="A44" s="53" t="str">
        <f>Titles!$A$12</f>
        <v>1 Data for 2020 and 2021 based on 2016 Census Definitions.</v>
      </c>
      <c r="B44" s="87"/>
      <c r="C44" s="408"/>
      <c r="D44" s="360"/>
      <c r="E44" s="54"/>
      <c r="F44" s="360"/>
      <c r="G44" s="360"/>
      <c r="H44" s="409"/>
      <c r="I44" s="79"/>
    </row>
    <row r="45" spans="1:9" s="347" customFormat="1" ht="10.9" customHeight="1">
      <c r="A45" s="402" t="s">
        <v>118</v>
      </c>
      <c r="B45" s="348"/>
      <c r="C45" s="348"/>
      <c r="D45" s="348"/>
      <c r="E45" s="401"/>
      <c r="F45" s="346"/>
      <c r="G45" s="346"/>
      <c r="H45" s="346"/>
    </row>
    <row r="46" spans="1:9" s="347" customFormat="1" ht="10.9" customHeight="1">
      <c r="A46" s="361" t="str">
        <f>Titles!$A$10</f>
        <v>Source: CMHC Starts and Completion Survey, Market Absorption Survey</v>
      </c>
      <c r="B46" s="348"/>
      <c r="C46" s="348"/>
      <c r="D46" s="348"/>
      <c r="E46" s="362"/>
      <c r="F46" s="348"/>
      <c r="G46" s="348"/>
      <c r="H46" s="348"/>
    </row>
    <row r="47" spans="1:9" ht="12" customHeight="1">
      <c r="A47" s="94"/>
      <c r="B47" s="93"/>
      <c r="C47" s="93"/>
      <c r="D47" s="177"/>
      <c r="E47" s="177"/>
      <c r="F47" s="177"/>
      <c r="G47" s="202"/>
      <c r="H47" s="93"/>
      <c r="I47" s="13"/>
    </row>
    <row r="49" spans="1:9" ht="9.75" customHeight="1">
      <c r="I49" s="13"/>
    </row>
    <row r="52" spans="1:9">
      <c r="A52" s="53"/>
      <c r="B52" s="84"/>
      <c r="C52" s="411"/>
      <c r="D52" s="92"/>
      <c r="E52" s="54"/>
    </row>
    <row r="53" spans="1:9">
      <c r="A53" s="53"/>
      <c r="B53" s="92"/>
      <c r="C53" s="92"/>
      <c r="D53" s="340"/>
      <c r="E53" s="54"/>
    </row>
    <row r="61" spans="1:9">
      <c r="A61" s="53"/>
      <c r="B61" s="84"/>
      <c r="C61" s="408"/>
      <c r="D61" s="409"/>
      <c r="E61" s="409"/>
      <c r="F61" s="54"/>
    </row>
    <row r="62" spans="1:9" ht="15">
      <c r="A62" s="53"/>
      <c r="B62" s="178"/>
      <c r="C62" s="178"/>
      <c r="D62" s="178"/>
      <c r="E62" s="178"/>
      <c r="F62" s="54"/>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L62"/>
  <sheetViews>
    <sheetView zoomScaleNormal="100" workbookViewId="0"/>
  </sheetViews>
  <sheetFormatPr defaultColWidth="11.5546875" defaultRowHeight="12"/>
  <cols>
    <col min="1" max="1" width="8.33203125" style="12" customWidth="1"/>
    <col min="2" max="2" width="9.21875" style="12" customWidth="1"/>
    <col min="3" max="3" width="8.77734375" style="12" customWidth="1"/>
    <col min="4" max="6" width="9.77734375" style="12" customWidth="1"/>
    <col min="7" max="7" width="10" style="12" customWidth="1"/>
    <col min="8" max="8" width="9.77734375" style="12" customWidth="1"/>
    <col min="9" max="16384" width="11.5546875" style="12"/>
  </cols>
  <sheetData>
    <row r="1" spans="1:9" s="185" customFormat="1" ht="15.95" customHeight="1">
      <c r="A1" s="493" t="s">
        <v>152</v>
      </c>
      <c r="B1" s="494"/>
      <c r="C1" s="494"/>
      <c r="D1" s="494"/>
      <c r="E1" s="494"/>
      <c r="F1" s="494"/>
      <c r="G1" s="494"/>
      <c r="H1" s="495"/>
      <c r="I1" s="184"/>
    </row>
    <row r="2" spans="1:9" s="185" customFormat="1" ht="15.95" customHeight="1">
      <c r="A2" s="496" t="s">
        <v>166</v>
      </c>
      <c r="B2" s="497"/>
      <c r="C2" s="497"/>
      <c r="D2" s="497"/>
      <c r="E2" s="497"/>
      <c r="F2" s="497"/>
      <c r="G2" s="497"/>
      <c r="H2" s="498"/>
      <c r="I2" s="184"/>
    </row>
    <row r="3" spans="1:9" s="185" customFormat="1" ht="15.95" customHeight="1" thickBot="1">
      <c r="A3" s="502"/>
      <c r="B3" s="539"/>
      <c r="C3" s="539"/>
      <c r="D3" s="539"/>
      <c r="E3" s="539"/>
      <c r="F3" s="539"/>
      <c r="G3" s="539"/>
      <c r="H3" s="540"/>
      <c r="I3" s="184"/>
    </row>
    <row r="4" spans="1:9" ht="26.25" customHeight="1">
      <c r="A4" s="80" t="s">
        <v>75</v>
      </c>
      <c r="B4" s="92"/>
      <c r="C4" s="124"/>
      <c r="D4" s="454" t="s">
        <v>25</v>
      </c>
      <c r="E4" s="454" t="s">
        <v>44</v>
      </c>
      <c r="F4" s="454" t="s">
        <v>16</v>
      </c>
      <c r="G4" s="551" t="s">
        <v>106</v>
      </c>
      <c r="H4" s="664" t="s">
        <v>39</v>
      </c>
      <c r="I4" s="79"/>
    </row>
    <row r="5" spans="1:9">
      <c r="A5" s="670"/>
      <c r="B5" s="671"/>
      <c r="C5" s="155"/>
      <c r="D5" s="155"/>
      <c r="E5" s="155"/>
      <c r="F5" s="155"/>
      <c r="G5" s="552"/>
      <c r="H5" s="353"/>
      <c r="I5" s="79"/>
    </row>
    <row r="6" spans="1:9" ht="13.5">
      <c r="A6" s="137" t="s">
        <v>128</v>
      </c>
      <c r="B6" s="138"/>
      <c r="C6" s="191"/>
      <c r="D6" s="198">
        <v>3415</v>
      </c>
      <c r="E6" s="198">
        <v>1345</v>
      </c>
      <c r="F6" s="198">
        <v>784</v>
      </c>
      <c r="G6" s="198">
        <v>202</v>
      </c>
      <c r="H6" s="226">
        <v>183</v>
      </c>
      <c r="I6" s="79"/>
    </row>
    <row r="7" spans="1:9" ht="13.5">
      <c r="A7" s="85" t="s">
        <v>140</v>
      </c>
      <c r="B7" s="152"/>
      <c r="C7" s="119"/>
      <c r="D7" s="423">
        <v>4262</v>
      </c>
      <c r="E7" s="665">
        <v>1555</v>
      </c>
      <c r="F7" s="665">
        <v>1165</v>
      </c>
      <c r="G7" s="665">
        <v>218</v>
      </c>
      <c r="H7" s="666">
        <v>152</v>
      </c>
      <c r="I7" s="79"/>
    </row>
    <row r="8" spans="1:9">
      <c r="A8" s="314" t="s">
        <v>122</v>
      </c>
      <c r="B8" s="111" t="s">
        <v>63</v>
      </c>
      <c r="C8" s="173"/>
      <c r="D8" s="198">
        <v>3758</v>
      </c>
      <c r="E8" s="198">
        <v>749</v>
      </c>
      <c r="F8" s="198">
        <v>325</v>
      </c>
      <c r="G8" s="198">
        <v>89</v>
      </c>
      <c r="H8" s="226">
        <v>7</v>
      </c>
      <c r="I8" s="79"/>
    </row>
    <row r="9" spans="1:9">
      <c r="A9" s="120"/>
      <c r="B9" s="115" t="s">
        <v>64</v>
      </c>
      <c r="C9" s="174"/>
      <c r="D9" s="198">
        <v>1049</v>
      </c>
      <c r="E9" s="198">
        <v>752</v>
      </c>
      <c r="F9" s="198">
        <v>955</v>
      </c>
      <c r="G9" s="198">
        <v>124</v>
      </c>
      <c r="H9" s="226">
        <v>1136</v>
      </c>
      <c r="I9" s="79"/>
    </row>
    <row r="10" spans="1:9">
      <c r="A10" s="163"/>
      <c r="B10" s="164" t="s">
        <v>65</v>
      </c>
      <c r="C10" s="192"/>
      <c r="D10" s="198">
        <v>2456.0000000000005</v>
      </c>
      <c r="E10" s="198">
        <v>649</v>
      </c>
      <c r="F10" s="198">
        <v>283.00000000000006</v>
      </c>
      <c r="G10" s="198">
        <v>86</v>
      </c>
      <c r="H10" s="226">
        <v>100</v>
      </c>
      <c r="I10" s="79"/>
    </row>
    <row r="11" spans="1:9">
      <c r="A11" s="165"/>
      <c r="B11" s="115" t="s">
        <v>66</v>
      </c>
      <c r="C11" s="174"/>
      <c r="D11" s="198">
        <v>5240</v>
      </c>
      <c r="E11" s="198">
        <v>768.99999999999989</v>
      </c>
      <c r="F11" s="198">
        <v>688</v>
      </c>
      <c r="G11" s="198">
        <v>152</v>
      </c>
      <c r="H11" s="226">
        <v>80</v>
      </c>
      <c r="I11" s="79"/>
    </row>
    <row r="12" spans="1:9">
      <c r="A12" s="120"/>
      <c r="B12" s="115" t="s">
        <v>67</v>
      </c>
      <c r="C12" s="174"/>
      <c r="D12" s="198">
        <v>1970.0000000000002</v>
      </c>
      <c r="E12" s="198">
        <v>842.99999999999989</v>
      </c>
      <c r="F12" s="198">
        <v>271</v>
      </c>
      <c r="G12" s="198">
        <v>162</v>
      </c>
      <c r="H12" s="226">
        <v>228</v>
      </c>
      <c r="I12" s="79"/>
    </row>
    <row r="13" spans="1:9">
      <c r="A13" s="163"/>
      <c r="B13" s="164" t="s">
        <v>68</v>
      </c>
      <c r="C13" s="192"/>
      <c r="D13" s="198">
        <v>5109.9999999999991</v>
      </c>
      <c r="E13" s="198">
        <v>778.99999999999989</v>
      </c>
      <c r="F13" s="198">
        <v>232</v>
      </c>
      <c r="G13" s="198">
        <v>240</v>
      </c>
      <c r="H13" s="226">
        <v>161</v>
      </c>
      <c r="I13" s="79"/>
    </row>
    <row r="14" spans="1:9">
      <c r="A14" s="163"/>
      <c r="B14" s="115" t="s">
        <v>69</v>
      </c>
      <c r="C14" s="174"/>
      <c r="D14" s="198">
        <v>2929.9999999999995</v>
      </c>
      <c r="E14" s="198">
        <v>4894</v>
      </c>
      <c r="F14" s="198">
        <v>686</v>
      </c>
      <c r="G14" s="198">
        <v>369</v>
      </c>
      <c r="H14" s="226">
        <v>167.99999999999997</v>
      </c>
      <c r="I14" s="79"/>
    </row>
    <row r="15" spans="1:9">
      <c r="A15" s="120"/>
      <c r="B15" s="115" t="s">
        <v>70</v>
      </c>
      <c r="C15" s="174"/>
      <c r="D15" s="198">
        <v>6532</v>
      </c>
      <c r="E15" s="198">
        <v>1543</v>
      </c>
      <c r="F15" s="198">
        <v>677.99999999999989</v>
      </c>
      <c r="G15" s="198">
        <v>446.99999999999994</v>
      </c>
      <c r="H15" s="226">
        <v>156</v>
      </c>
      <c r="I15" s="79"/>
    </row>
    <row r="16" spans="1:9">
      <c r="A16" s="120"/>
      <c r="B16" s="164" t="s">
        <v>71</v>
      </c>
      <c r="C16" s="192"/>
      <c r="D16" s="198">
        <v>3339</v>
      </c>
      <c r="E16" s="198">
        <v>1731</v>
      </c>
      <c r="F16" s="198">
        <v>887.99999999999989</v>
      </c>
      <c r="G16" s="198">
        <v>152</v>
      </c>
      <c r="H16" s="226">
        <v>145.00000000000003</v>
      </c>
      <c r="I16" s="79"/>
    </row>
    <row r="17" spans="1:9">
      <c r="A17" s="120"/>
      <c r="B17" s="164" t="s">
        <v>72</v>
      </c>
      <c r="C17" s="192"/>
      <c r="D17" s="198">
        <v>3072.9999999999995</v>
      </c>
      <c r="E17" s="198">
        <v>914</v>
      </c>
      <c r="F17" s="198">
        <v>622</v>
      </c>
      <c r="G17" s="198">
        <v>158.99999999999997</v>
      </c>
      <c r="H17" s="226">
        <v>782</v>
      </c>
      <c r="I17" s="79"/>
    </row>
    <row r="18" spans="1:9">
      <c r="A18" s="120"/>
      <c r="B18" s="164" t="s">
        <v>73</v>
      </c>
      <c r="C18" s="192"/>
      <c r="D18" s="198">
        <v>2593</v>
      </c>
      <c r="E18" s="198">
        <v>1103</v>
      </c>
      <c r="F18" s="198">
        <v>3350</v>
      </c>
      <c r="G18" s="198">
        <v>138</v>
      </c>
      <c r="H18" s="226">
        <v>62</v>
      </c>
      <c r="I18" s="79"/>
    </row>
    <row r="19" spans="1:9">
      <c r="A19" s="154"/>
      <c r="B19" s="152" t="s">
        <v>74</v>
      </c>
      <c r="C19" s="193"/>
      <c r="D19" s="667">
        <v>2604</v>
      </c>
      <c r="E19" s="667">
        <v>1171</v>
      </c>
      <c r="F19" s="667">
        <v>280</v>
      </c>
      <c r="G19" s="667">
        <v>170.99999999999997</v>
      </c>
      <c r="H19" s="668">
        <v>97</v>
      </c>
      <c r="I19" s="79"/>
    </row>
    <row r="20" spans="1:9">
      <c r="A20" s="302" t="s">
        <v>129</v>
      </c>
      <c r="B20" s="111" t="s">
        <v>63</v>
      </c>
      <c r="C20" s="173"/>
      <c r="D20" s="198">
        <v>4886</v>
      </c>
      <c r="E20" s="198">
        <v>266.99999999999994</v>
      </c>
      <c r="F20" s="198">
        <v>333.99999999999994</v>
      </c>
      <c r="G20" s="198">
        <v>4</v>
      </c>
      <c r="H20" s="226">
        <v>87</v>
      </c>
      <c r="I20" s="79"/>
    </row>
    <row r="21" spans="1:9">
      <c r="A21" s="120"/>
      <c r="B21" s="115" t="s">
        <v>64</v>
      </c>
      <c r="C21" s="174"/>
      <c r="D21" s="198">
        <v>2643</v>
      </c>
      <c r="E21" s="198">
        <v>1067.0000000000002</v>
      </c>
      <c r="F21" s="198">
        <v>1899</v>
      </c>
      <c r="G21" s="198">
        <v>118</v>
      </c>
      <c r="H21" s="226">
        <v>97</v>
      </c>
      <c r="I21" s="79"/>
    </row>
    <row r="22" spans="1:9">
      <c r="A22" s="163"/>
      <c r="B22" s="164" t="s">
        <v>65</v>
      </c>
      <c r="C22" s="192"/>
      <c r="D22" s="198">
        <v>4314</v>
      </c>
      <c r="E22" s="198">
        <v>2697.9999999999995</v>
      </c>
      <c r="F22" s="198">
        <v>893</v>
      </c>
      <c r="G22" s="198">
        <v>143.00000000000003</v>
      </c>
      <c r="H22" s="226">
        <v>2909</v>
      </c>
      <c r="I22" s="79"/>
    </row>
    <row r="23" spans="1:9">
      <c r="A23" s="165"/>
      <c r="B23" s="115" t="s">
        <v>66</v>
      </c>
      <c r="C23" s="174"/>
      <c r="D23" s="198">
        <v>3357</v>
      </c>
      <c r="E23" s="198">
        <v>796</v>
      </c>
      <c r="F23" s="198">
        <v>999</v>
      </c>
      <c r="G23" s="198">
        <v>279</v>
      </c>
      <c r="H23" s="226">
        <v>6</v>
      </c>
      <c r="I23" s="79"/>
    </row>
    <row r="24" spans="1:9">
      <c r="A24" s="120"/>
      <c r="B24" s="115" t="s">
        <v>67</v>
      </c>
      <c r="C24" s="174"/>
      <c r="D24" s="198">
        <v>1577</v>
      </c>
      <c r="E24" s="198">
        <v>807.00000000000011</v>
      </c>
      <c r="F24" s="198">
        <v>1046</v>
      </c>
      <c r="G24" s="198">
        <v>61</v>
      </c>
      <c r="H24" s="226">
        <v>340.99999999999994</v>
      </c>
      <c r="I24" s="79"/>
    </row>
    <row r="25" spans="1:9">
      <c r="A25" s="163"/>
      <c r="B25" s="164" t="s">
        <v>68</v>
      </c>
      <c r="C25" s="192"/>
      <c r="D25" s="198">
        <v>2780</v>
      </c>
      <c r="E25" s="198">
        <v>1821.9999999999998</v>
      </c>
      <c r="F25" s="198">
        <v>2976</v>
      </c>
      <c r="G25" s="198">
        <v>189</v>
      </c>
      <c r="H25" s="226">
        <v>358</v>
      </c>
      <c r="I25" s="79"/>
    </row>
    <row r="26" spans="1:9">
      <c r="A26" s="163"/>
      <c r="B26" s="115" t="s">
        <v>69</v>
      </c>
      <c r="C26" s="174"/>
      <c r="D26" s="198">
        <v>3219.0000000000005</v>
      </c>
      <c r="E26" s="198">
        <v>957</v>
      </c>
      <c r="F26" s="198">
        <v>419.00000000000006</v>
      </c>
      <c r="G26" s="198">
        <v>248</v>
      </c>
      <c r="H26" s="226">
        <v>160.99999999999997</v>
      </c>
      <c r="I26" s="79"/>
    </row>
    <row r="27" spans="1:9">
      <c r="A27" s="120"/>
      <c r="B27" s="115" t="s">
        <v>70</v>
      </c>
      <c r="C27" s="174"/>
      <c r="D27" s="198">
        <v>2467</v>
      </c>
      <c r="E27" s="198">
        <v>1900</v>
      </c>
      <c r="F27" s="198">
        <v>532</v>
      </c>
      <c r="G27" s="198">
        <v>282</v>
      </c>
      <c r="H27" s="226">
        <v>33</v>
      </c>
      <c r="I27" s="79"/>
    </row>
    <row r="28" spans="1:9">
      <c r="A28" s="120"/>
      <c r="B28" s="164" t="s">
        <v>71</v>
      </c>
      <c r="C28" s="192"/>
      <c r="D28" s="198">
        <v>4564</v>
      </c>
      <c r="E28" s="198">
        <v>2408.0000000000005</v>
      </c>
      <c r="F28" s="198">
        <v>769</v>
      </c>
      <c r="G28" s="198">
        <v>190</v>
      </c>
      <c r="H28" s="226">
        <v>109.99999999999999</v>
      </c>
      <c r="I28" s="79"/>
    </row>
    <row r="29" spans="1:9">
      <c r="A29" s="120"/>
      <c r="B29" s="164" t="s">
        <v>72</v>
      </c>
      <c r="C29" s="192"/>
      <c r="D29" s="198">
        <v>3486</v>
      </c>
      <c r="E29" s="198">
        <v>2161</v>
      </c>
      <c r="F29" s="198">
        <v>3718</v>
      </c>
      <c r="G29" s="198">
        <v>504</v>
      </c>
      <c r="H29" s="226">
        <v>190</v>
      </c>
      <c r="I29" s="79"/>
    </row>
    <row r="30" spans="1:9">
      <c r="A30" s="120"/>
      <c r="B30" s="164" t="s">
        <v>73</v>
      </c>
      <c r="C30" s="192"/>
      <c r="D30" s="198">
        <v>15288.999999999998</v>
      </c>
      <c r="E30" s="198">
        <v>2760</v>
      </c>
      <c r="F30" s="198">
        <v>960.00000000000011</v>
      </c>
      <c r="G30" s="198">
        <v>350.00000000000006</v>
      </c>
      <c r="H30" s="226">
        <v>222</v>
      </c>
      <c r="I30" s="79"/>
    </row>
    <row r="31" spans="1:9">
      <c r="A31" s="154"/>
      <c r="B31" s="152" t="s">
        <v>74</v>
      </c>
      <c r="C31" s="669"/>
      <c r="D31" s="667">
        <v>2877</v>
      </c>
      <c r="E31" s="667">
        <v>1343.9999999999998</v>
      </c>
      <c r="F31" s="667">
        <v>528</v>
      </c>
      <c r="G31" s="667">
        <v>197</v>
      </c>
      <c r="H31" s="668">
        <v>15</v>
      </c>
      <c r="I31" s="79"/>
    </row>
    <row r="32" spans="1:9">
      <c r="A32" s="302" t="s">
        <v>141</v>
      </c>
      <c r="B32" s="111" t="s">
        <v>63</v>
      </c>
      <c r="C32" s="175"/>
      <c r="D32" s="198">
        <v>3939</v>
      </c>
      <c r="E32" s="198">
        <v>1924</v>
      </c>
      <c r="F32" s="198">
        <v>3364</v>
      </c>
      <c r="G32" s="198">
        <v>492</v>
      </c>
      <c r="H32" s="226">
        <v>88</v>
      </c>
      <c r="I32" s="79"/>
    </row>
    <row r="33" spans="1:12">
      <c r="A33" s="120"/>
      <c r="B33" s="115" t="s">
        <v>64</v>
      </c>
      <c r="C33" s="174"/>
      <c r="D33" s="198">
        <v>9152.0000000000018</v>
      </c>
      <c r="E33" s="198">
        <v>968</v>
      </c>
      <c r="F33" s="198">
        <v>925</v>
      </c>
      <c r="G33" s="198">
        <v>141</v>
      </c>
      <c r="H33" s="226">
        <v>95</v>
      </c>
      <c r="I33" s="79"/>
    </row>
    <row r="34" spans="1:12">
      <c r="A34" s="163"/>
      <c r="B34" s="164" t="s">
        <v>65</v>
      </c>
      <c r="C34" s="192"/>
      <c r="D34" s="198">
        <v>3428</v>
      </c>
      <c r="E34" s="198">
        <v>803.99999999999989</v>
      </c>
      <c r="F34" s="198">
        <v>529</v>
      </c>
      <c r="G34" s="198">
        <v>4400</v>
      </c>
      <c r="H34" s="226">
        <v>1006.9999999999999</v>
      </c>
      <c r="I34" s="79"/>
    </row>
    <row r="35" spans="1:12">
      <c r="A35" s="165"/>
      <c r="B35" s="115" t="s">
        <v>66</v>
      </c>
      <c r="C35" s="174"/>
      <c r="D35" s="198">
        <v>8674</v>
      </c>
      <c r="E35" s="198">
        <v>2166</v>
      </c>
      <c r="F35" s="198">
        <v>2149</v>
      </c>
      <c r="G35" s="198">
        <v>860</v>
      </c>
      <c r="H35" s="226">
        <v>584.00000000000011</v>
      </c>
      <c r="I35" s="79"/>
    </row>
    <row r="36" spans="1:12">
      <c r="A36" s="120"/>
      <c r="B36" s="115" t="s">
        <v>67</v>
      </c>
      <c r="C36" s="174"/>
      <c r="D36" s="198">
        <v>6253</v>
      </c>
      <c r="E36" s="198">
        <v>2689</v>
      </c>
      <c r="F36" s="198">
        <v>2499</v>
      </c>
      <c r="G36" s="198">
        <v>632</v>
      </c>
      <c r="H36" s="226">
        <v>334</v>
      </c>
      <c r="I36" s="79"/>
    </row>
    <row r="37" spans="1:12">
      <c r="A37" s="163"/>
      <c r="B37" s="164" t="s">
        <v>68</v>
      </c>
      <c r="C37" s="192"/>
      <c r="D37" s="198">
        <v>10519</v>
      </c>
      <c r="E37" s="198">
        <v>1702</v>
      </c>
      <c r="F37" s="198">
        <v>1091</v>
      </c>
      <c r="G37" s="198">
        <v>423.00000000000006</v>
      </c>
      <c r="H37" s="226">
        <v>83</v>
      </c>
      <c r="I37" s="79"/>
    </row>
    <row r="38" spans="1:12">
      <c r="A38" s="163"/>
      <c r="B38" s="115" t="s">
        <v>69</v>
      </c>
      <c r="C38" s="174"/>
      <c r="D38" s="198">
        <v>6752.0000000000009</v>
      </c>
      <c r="E38" s="198">
        <v>1014.9999999999999</v>
      </c>
      <c r="F38" s="198">
        <v>3472</v>
      </c>
      <c r="G38" s="198">
        <v>440.99999999999994</v>
      </c>
      <c r="H38" s="226">
        <v>853</v>
      </c>
      <c r="I38" s="79"/>
    </row>
    <row r="39" spans="1:12">
      <c r="A39" s="120"/>
      <c r="B39" s="115" t="s">
        <v>70</v>
      </c>
      <c r="C39" s="174"/>
      <c r="D39" s="198">
        <v>4555.0000000000009</v>
      </c>
      <c r="E39" s="198">
        <v>1488.9999999999998</v>
      </c>
      <c r="F39" s="198">
        <v>3577</v>
      </c>
      <c r="G39" s="198">
        <v>70</v>
      </c>
      <c r="H39" s="226">
        <v>69</v>
      </c>
      <c r="I39" s="79"/>
    </row>
    <row r="40" spans="1:12">
      <c r="A40" s="120"/>
      <c r="B40" s="164" t="s">
        <v>71</v>
      </c>
      <c r="C40" s="192"/>
      <c r="D40" s="198">
        <v>4966</v>
      </c>
      <c r="E40" s="198">
        <v>736</v>
      </c>
      <c r="F40" s="198">
        <v>2356</v>
      </c>
      <c r="G40" s="198">
        <v>2028</v>
      </c>
      <c r="H40" s="226">
        <v>113</v>
      </c>
      <c r="I40" s="79"/>
    </row>
    <row r="41" spans="1:12">
      <c r="A41" s="120"/>
      <c r="B41" s="164" t="s">
        <v>72</v>
      </c>
      <c r="C41" s="192"/>
      <c r="D41" s="198">
        <v>2891</v>
      </c>
      <c r="E41" s="198">
        <v>891.99999999999989</v>
      </c>
      <c r="F41" s="198">
        <v>2626</v>
      </c>
      <c r="G41" s="198">
        <v>289</v>
      </c>
      <c r="H41" s="226">
        <v>75</v>
      </c>
      <c r="I41" s="79"/>
    </row>
    <row r="42" spans="1:12">
      <c r="A42" s="120"/>
      <c r="B42" s="164" t="s">
        <v>73</v>
      </c>
      <c r="C42" s="192"/>
      <c r="D42" s="448">
        <v>3494</v>
      </c>
      <c r="E42" s="448">
        <v>1867</v>
      </c>
      <c r="F42" s="448">
        <v>2269</v>
      </c>
      <c r="G42" s="448">
        <v>294.00000000000006</v>
      </c>
      <c r="H42" s="449">
        <v>183</v>
      </c>
      <c r="I42" s="79"/>
    </row>
    <row r="43" spans="1:12" ht="12.75" thickBot="1">
      <c r="A43" s="90"/>
      <c r="B43" s="166" t="s">
        <v>74</v>
      </c>
      <c r="C43" s="194"/>
      <c r="D43" s="354">
        <v>3190</v>
      </c>
      <c r="E43" s="354">
        <v>1233</v>
      </c>
      <c r="F43" s="354">
        <v>1937</v>
      </c>
      <c r="G43" s="354">
        <v>182</v>
      </c>
      <c r="H43" s="355">
        <v>151</v>
      </c>
      <c r="I43" s="79"/>
    </row>
    <row r="44" spans="1:12" s="10" customFormat="1" ht="12" customHeight="1">
      <c r="A44" s="53" t="str">
        <f>Titles!$A$12</f>
        <v>1 Data for 2020 and 2021 based on 2016 Census Definitions.</v>
      </c>
      <c r="B44" s="87"/>
      <c r="C44" s="408"/>
      <c r="D44" s="360"/>
      <c r="E44" s="54"/>
      <c r="F44" s="360"/>
      <c r="G44" s="360"/>
      <c r="H44" s="409"/>
      <c r="I44" s="240"/>
      <c r="J44" s="240"/>
      <c r="K44" s="341"/>
      <c r="L44" s="11"/>
    </row>
    <row r="45" spans="1:12">
      <c r="A45" s="402" t="s">
        <v>118</v>
      </c>
      <c r="B45" s="348"/>
      <c r="C45" s="348"/>
      <c r="D45" s="348"/>
      <c r="E45" s="401"/>
      <c r="F45" s="346"/>
      <c r="G45" s="346"/>
      <c r="H45" s="346"/>
      <c r="I45" s="79"/>
    </row>
    <row r="46" spans="1:12" s="347" customFormat="1" ht="10.9" customHeight="1">
      <c r="A46" s="361" t="str">
        <f>Titles!$A$10</f>
        <v>Source: CMHC Starts and Completion Survey, Market Absorption Survey</v>
      </c>
      <c r="B46" s="348"/>
      <c r="C46" s="348"/>
      <c r="D46" s="348"/>
      <c r="E46" s="362"/>
      <c r="F46" s="348"/>
      <c r="G46" s="348"/>
      <c r="H46" s="348"/>
    </row>
    <row r="47" spans="1:12" s="347" customFormat="1" ht="10.9" customHeight="1"/>
    <row r="48" spans="1:12" ht="12" customHeight="1">
      <c r="A48" s="94"/>
      <c r="B48" s="93"/>
      <c r="C48" s="93"/>
      <c r="D48" s="177"/>
      <c r="E48" s="177"/>
      <c r="F48" s="177"/>
      <c r="G48" s="202"/>
      <c r="H48" s="93"/>
      <c r="I48" s="13"/>
    </row>
    <row r="49" spans="1:9" ht="9.75" customHeight="1">
      <c r="I49" s="13"/>
    </row>
    <row r="61" spans="1:9">
      <c r="A61" s="53"/>
      <c r="B61" s="84"/>
      <c r="C61" s="408"/>
      <c r="D61" s="409"/>
      <c r="E61" s="409"/>
      <c r="F61" s="54"/>
    </row>
    <row r="62" spans="1:9" ht="15">
      <c r="A62" s="53"/>
      <c r="B62" s="178"/>
      <c r="C62" s="178"/>
      <c r="D62" s="178"/>
      <c r="E62" s="178"/>
      <c r="F62" s="54"/>
    </row>
  </sheetData>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L62"/>
  <sheetViews>
    <sheetView zoomScaleNormal="100" workbookViewId="0"/>
  </sheetViews>
  <sheetFormatPr defaultColWidth="11.5546875" defaultRowHeight="12"/>
  <cols>
    <col min="1" max="1" width="8.77734375" style="12" customWidth="1"/>
    <col min="2" max="2" width="9.21875" style="12" customWidth="1"/>
    <col min="3" max="3" width="8.77734375" style="12" customWidth="1"/>
    <col min="4" max="8" width="9.77734375" style="12" customWidth="1"/>
    <col min="9" max="16384" width="11.5546875" style="12"/>
  </cols>
  <sheetData>
    <row r="1" spans="1:9" s="185" customFormat="1" ht="15.95" customHeight="1">
      <c r="A1" s="493" t="s">
        <v>153</v>
      </c>
      <c r="B1" s="494"/>
      <c r="C1" s="494"/>
      <c r="D1" s="494"/>
      <c r="E1" s="494"/>
      <c r="F1" s="494"/>
      <c r="G1" s="494"/>
      <c r="H1" s="495"/>
      <c r="I1" s="184"/>
    </row>
    <row r="2" spans="1:9" s="185" customFormat="1" ht="15.95" customHeight="1">
      <c r="A2" s="496" t="s">
        <v>166</v>
      </c>
      <c r="B2" s="497"/>
      <c r="C2" s="497"/>
      <c r="D2" s="497"/>
      <c r="E2" s="497"/>
      <c r="F2" s="497"/>
      <c r="G2" s="497"/>
      <c r="H2" s="498"/>
      <c r="I2" s="184"/>
    </row>
    <row r="3" spans="1:9" s="185" customFormat="1" ht="15.95" customHeight="1" thickBot="1">
      <c r="A3" s="502"/>
      <c r="B3" s="539"/>
      <c r="C3" s="539"/>
      <c r="D3" s="539"/>
      <c r="E3" s="539"/>
      <c r="F3" s="539"/>
      <c r="G3" s="539"/>
      <c r="H3" s="540"/>
      <c r="I3" s="184"/>
    </row>
    <row r="4" spans="1:9">
      <c r="A4" s="83"/>
      <c r="B4" s="92"/>
      <c r="C4" s="124"/>
      <c r="D4" s="126"/>
      <c r="E4" s="126"/>
      <c r="F4" s="126"/>
      <c r="G4" s="126"/>
      <c r="H4" s="105"/>
      <c r="I4" s="79"/>
    </row>
    <row r="5" spans="1:9">
      <c r="A5" s="154" t="s">
        <v>96</v>
      </c>
      <c r="B5" s="148"/>
      <c r="C5" s="155"/>
      <c r="D5" s="156" t="s">
        <v>45</v>
      </c>
      <c r="E5" s="156" t="s">
        <v>34</v>
      </c>
      <c r="F5" s="156" t="s">
        <v>37</v>
      </c>
      <c r="G5" s="156" t="s">
        <v>120</v>
      </c>
      <c r="H5" s="157" t="s">
        <v>18</v>
      </c>
      <c r="I5" s="79"/>
    </row>
    <row r="6" spans="1:9" ht="13.5">
      <c r="A6" s="137" t="s">
        <v>130</v>
      </c>
      <c r="B6" s="186"/>
      <c r="C6" s="191"/>
      <c r="D6" s="198">
        <v>4965</v>
      </c>
      <c r="E6" s="198">
        <v>537</v>
      </c>
      <c r="F6" s="198">
        <v>1323</v>
      </c>
      <c r="G6" s="198">
        <v>637</v>
      </c>
      <c r="H6" s="226">
        <v>11909</v>
      </c>
      <c r="I6" s="79"/>
    </row>
    <row r="7" spans="1:9" ht="13.5">
      <c r="A7" s="85" t="s">
        <v>139</v>
      </c>
      <c r="B7" s="152"/>
      <c r="C7" s="119"/>
      <c r="D7" s="423">
        <v>5040</v>
      </c>
      <c r="E7" s="423">
        <v>766</v>
      </c>
      <c r="F7" s="423">
        <v>1909</v>
      </c>
      <c r="G7" s="423">
        <v>499</v>
      </c>
      <c r="H7" s="424">
        <v>9235</v>
      </c>
      <c r="I7" s="79"/>
    </row>
    <row r="8" spans="1:9">
      <c r="A8" s="314" t="s">
        <v>122</v>
      </c>
      <c r="B8" s="111" t="s">
        <v>63</v>
      </c>
      <c r="C8" s="173"/>
      <c r="D8" s="198">
        <v>5173</v>
      </c>
      <c r="E8" s="198">
        <v>658</v>
      </c>
      <c r="F8" s="198">
        <v>1288</v>
      </c>
      <c r="G8" s="198">
        <v>725</v>
      </c>
      <c r="H8" s="226">
        <v>9109</v>
      </c>
      <c r="I8" s="79"/>
    </row>
    <row r="9" spans="1:9">
      <c r="A9" s="120"/>
      <c r="B9" s="115" t="s">
        <v>64</v>
      </c>
      <c r="C9" s="174"/>
      <c r="D9" s="198">
        <v>3911</v>
      </c>
      <c r="E9" s="198">
        <v>352</v>
      </c>
      <c r="F9" s="198">
        <v>705.00000000000011</v>
      </c>
      <c r="G9" s="198">
        <v>640</v>
      </c>
      <c r="H9" s="226">
        <v>7775</v>
      </c>
      <c r="I9" s="79"/>
    </row>
    <row r="10" spans="1:9">
      <c r="A10" s="163"/>
      <c r="B10" s="164" t="s">
        <v>65</v>
      </c>
      <c r="C10" s="192"/>
      <c r="D10" s="198">
        <v>3992</v>
      </c>
      <c r="E10" s="198">
        <v>704</v>
      </c>
      <c r="F10" s="198">
        <v>646.00000000000011</v>
      </c>
      <c r="G10" s="198">
        <v>579</v>
      </c>
      <c r="H10" s="226">
        <v>6946</v>
      </c>
      <c r="I10" s="79"/>
    </row>
    <row r="11" spans="1:9">
      <c r="A11" s="165"/>
      <c r="B11" s="115" t="s">
        <v>66</v>
      </c>
      <c r="C11" s="174"/>
      <c r="D11" s="198">
        <v>5096</v>
      </c>
      <c r="E11" s="198">
        <v>449</v>
      </c>
      <c r="F11" s="198">
        <v>720.00000000000011</v>
      </c>
      <c r="G11" s="198">
        <v>511</v>
      </c>
      <c r="H11" s="226">
        <v>11219.000000000002</v>
      </c>
      <c r="I11" s="79"/>
    </row>
    <row r="12" spans="1:9">
      <c r="A12" s="120"/>
      <c r="B12" s="115" t="s">
        <v>67</v>
      </c>
      <c r="C12" s="174"/>
      <c r="D12" s="198">
        <v>7643</v>
      </c>
      <c r="E12" s="198">
        <v>306.00000000000006</v>
      </c>
      <c r="F12" s="198">
        <v>1608</v>
      </c>
      <c r="G12" s="198">
        <v>448</v>
      </c>
      <c r="H12" s="226">
        <v>9434.9999999999982</v>
      </c>
      <c r="I12" s="79"/>
    </row>
    <row r="13" spans="1:9">
      <c r="A13" s="163"/>
      <c r="B13" s="164" t="s">
        <v>68</v>
      </c>
      <c r="C13" s="192"/>
      <c r="D13" s="198">
        <v>8411</v>
      </c>
      <c r="E13" s="198">
        <v>775</v>
      </c>
      <c r="F13" s="198">
        <v>1670.9999999999998</v>
      </c>
      <c r="G13" s="198">
        <v>736</v>
      </c>
      <c r="H13" s="226">
        <v>13010</v>
      </c>
      <c r="I13" s="79"/>
    </row>
    <row r="14" spans="1:9">
      <c r="A14" s="163"/>
      <c r="B14" s="115" t="s">
        <v>69</v>
      </c>
      <c r="C14" s="174"/>
      <c r="D14" s="198">
        <v>4681</v>
      </c>
      <c r="E14" s="198">
        <v>274</v>
      </c>
      <c r="F14" s="198">
        <v>659</v>
      </c>
      <c r="G14" s="198">
        <v>1615</v>
      </c>
      <c r="H14" s="226">
        <v>8245.0000000000018</v>
      </c>
      <c r="I14" s="79"/>
    </row>
    <row r="15" spans="1:9">
      <c r="A15" s="120"/>
      <c r="B15" s="115" t="s">
        <v>70</v>
      </c>
      <c r="C15" s="174"/>
      <c r="D15" s="198">
        <v>4634</v>
      </c>
      <c r="E15" s="198">
        <v>341.99999999999994</v>
      </c>
      <c r="F15" s="198">
        <v>2028</v>
      </c>
      <c r="G15" s="198">
        <v>559</v>
      </c>
      <c r="H15" s="226">
        <v>12342</v>
      </c>
      <c r="I15" s="79"/>
    </row>
    <row r="16" spans="1:9">
      <c r="A16" s="120"/>
      <c r="B16" s="164" t="s">
        <v>71</v>
      </c>
      <c r="C16" s="192"/>
      <c r="D16" s="198">
        <v>3233.9999999999995</v>
      </c>
      <c r="E16" s="198">
        <v>873</v>
      </c>
      <c r="F16" s="198">
        <v>2536</v>
      </c>
      <c r="G16" s="198">
        <v>450</v>
      </c>
      <c r="H16" s="226">
        <v>18170</v>
      </c>
      <c r="I16" s="79"/>
    </row>
    <row r="17" spans="1:9">
      <c r="A17" s="120"/>
      <c r="B17" s="164" t="s">
        <v>72</v>
      </c>
      <c r="C17" s="192"/>
      <c r="D17" s="198">
        <v>5124.0000000000009</v>
      </c>
      <c r="E17" s="198">
        <v>614</v>
      </c>
      <c r="F17" s="198">
        <v>1287.0000000000002</v>
      </c>
      <c r="G17" s="198">
        <v>556.99999999999989</v>
      </c>
      <c r="H17" s="226">
        <v>9782</v>
      </c>
      <c r="I17" s="79"/>
    </row>
    <row r="18" spans="1:9">
      <c r="A18" s="120"/>
      <c r="B18" s="164" t="s">
        <v>73</v>
      </c>
      <c r="C18" s="192"/>
      <c r="D18" s="198">
        <v>3915</v>
      </c>
      <c r="E18" s="198">
        <v>720</v>
      </c>
      <c r="F18" s="198">
        <v>928.00000000000011</v>
      </c>
      <c r="G18" s="198">
        <v>502</v>
      </c>
      <c r="H18" s="226">
        <v>11141</v>
      </c>
      <c r="I18" s="79"/>
    </row>
    <row r="19" spans="1:9">
      <c r="A19" s="154"/>
      <c r="B19" s="152" t="s">
        <v>74</v>
      </c>
      <c r="C19" s="693"/>
      <c r="D19" s="692">
        <v>3716</v>
      </c>
      <c r="E19" s="694">
        <v>336.99999999999994</v>
      </c>
      <c r="F19" s="695">
        <v>1769.0000000000002</v>
      </c>
      <c r="G19" s="697">
        <v>345.00000000000006</v>
      </c>
      <c r="H19" s="696">
        <v>25520.000000000004</v>
      </c>
      <c r="I19" s="79"/>
    </row>
    <row r="20" spans="1:9">
      <c r="A20" s="302" t="s">
        <v>129</v>
      </c>
      <c r="B20" s="111" t="s">
        <v>63</v>
      </c>
      <c r="C20" s="173"/>
      <c r="D20" s="198">
        <v>6096</v>
      </c>
      <c r="E20" s="198">
        <v>840.00000000000011</v>
      </c>
      <c r="F20" s="198">
        <v>2248</v>
      </c>
      <c r="G20" s="198">
        <v>305</v>
      </c>
      <c r="H20" s="226">
        <v>8377</v>
      </c>
      <c r="I20" s="79"/>
    </row>
    <row r="21" spans="1:9">
      <c r="A21" s="120"/>
      <c r="B21" s="115" t="s">
        <v>64</v>
      </c>
      <c r="C21" s="174"/>
      <c r="D21" s="198">
        <v>4119</v>
      </c>
      <c r="E21" s="198">
        <v>827</v>
      </c>
      <c r="F21" s="198">
        <v>923.99999999999989</v>
      </c>
      <c r="G21" s="198">
        <v>364.00000000000006</v>
      </c>
      <c r="H21" s="226">
        <v>8567</v>
      </c>
      <c r="I21" s="79"/>
    </row>
    <row r="22" spans="1:9">
      <c r="A22" s="163"/>
      <c r="B22" s="164" t="s">
        <v>65</v>
      </c>
      <c r="C22" s="192"/>
      <c r="D22" s="198">
        <v>4486</v>
      </c>
      <c r="E22" s="198">
        <v>266</v>
      </c>
      <c r="F22" s="198">
        <v>1216.0000000000002</v>
      </c>
      <c r="G22" s="198">
        <v>524</v>
      </c>
      <c r="H22" s="226">
        <v>12776</v>
      </c>
      <c r="I22" s="79"/>
    </row>
    <row r="23" spans="1:9">
      <c r="A23" s="165"/>
      <c r="B23" s="115" t="s">
        <v>66</v>
      </c>
      <c r="C23" s="174"/>
      <c r="D23" s="198">
        <v>5561.9999999999991</v>
      </c>
      <c r="E23" s="198">
        <v>1012</v>
      </c>
      <c r="F23" s="198">
        <v>1185</v>
      </c>
      <c r="G23" s="198">
        <v>262</v>
      </c>
      <c r="H23" s="226">
        <v>6625</v>
      </c>
      <c r="I23" s="79"/>
    </row>
    <row r="24" spans="1:9">
      <c r="A24" s="120"/>
      <c r="B24" s="115" t="s">
        <v>67</v>
      </c>
      <c r="C24" s="174"/>
      <c r="D24" s="198">
        <v>2897.9999999999995</v>
      </c>
      <c r="E24" s="198">
        <v>536.99999999999989</v>
      </c>
      <c r="F24" s="198">
        <v>1161</v>
      </c>
      <c r="G24" s="198">
        <v>224.99999999999997</v>
      </c>
      <c r="H24" s="226">
        <v>8323</v>
      </c>
      <c r="I24" s="79"/>
    </row>
    <row r="25" spans="1:9">
      <c r="A25" s="163"/>
      <c r="B25" s="164" t="s">
        <v>68</v>
      </c>
      <c r="C25" s="192"/>
      <c r="D25" s="198">
        <v>6358</v>
      </c>
      <c r="E25" s="198">
        <v>271</v>
      </c>
      <c r="F25" s="198">
        <v>1934.9999999999998</v>
      </c>
      <c r="G25" s="198">
        <v>1036</v>
      </c>
      <c r="H25" s="226">
        <v>4907.9999999999991</v>
      </c>
      <c r="I25" s="79"/>
    </row>
    <row r="26" spans="1:9">
      <c r="A26" s="163"/>
      <c r="B26" s="115" t="s">
        <v>69</v>
      </c>
      <c r="C26" s="174"/>
      <c r="D26" s="198">
        <v>5518</v>
      </c>
      <c r="E26" s="198">
        <v>927.99999999999989</v>
      </c>
      <c r="F26" s="198">
        <v>6869</v>
      </c>
      <c r="G26" s="198">
        <v>1140.0000000000002</v>
      </c>
      <c r="H26" s="226">
        <v>8841.0000000000018</v>
      </c>
      <c r="I26" s="79"/>
    </row>
    <row r="27" spans="1:9">
      <c r="A27" s="120"/>
      <c r="B27" s="115" t="s">
        <v>70</v>
      </c>
      <c r="C27" s="174"/>
      <c r="D27" s="198">
        <v>3800</v>
      </c>
      <c r="E27" s="198">
        <v>942</v>
      </c>
      <c r="F27" s="198">
        <v>1302</v>
      </c>
      <c r="G27" s="198">
        <v>391</v>
      </c>
      <c r="H27" s="226">
        <v>8652.0000000000018</v>
      </c>
      <c r="I27" s="79"/>
    </row>
    <row r="28" spans="1:9">
      <c r="A28" s="120"/>
      <c r="B28" s="164" t="s">
        <v>71</v>
      </c>
      <c r="C28" s="192"/>
      <c r="D28" s="198">
        <v>2588</v>
      </c>
      <c r="E28" s="198">
        <v>599.00000000000011</v>
      </c>
      <c r="F28" s="198">
        <v>983</v>
      </c>
      <c r="G28" s="198">
        <v>475</v>
      </c>
      <c r="H28" s="226">
        <v>11997</v>
      </c>
      <c r="I28" s="79"/>
    </row>
    <row r="29" spans="1:9">
      <c r="A29" s="120"/>
      <c r="B29" s="164" t="s">
        <v>72</v>
      </c>
      <c r="C29" s="192"/>
      <c r="D29" s="198">
        <v>7167.9999999999991</v>
      </c>
      <c r="E29" s="198">
        <v>466.99999999999994</v>
      </c>
      <c r="F29" s="198">
        <v>1494.9999999999998</v>
      </c>
      <c r="G29" s="198">
        <v>405</v>
      </c>
      <c r="H29" s="226">
        <v>11742.999999999998</v>
      </c>
      <c r="I29" s="79"/>
    </row>
    <row r="30" spans="1:9">
      <c r="A30" s="120"/>
      <c r="B30" s="164" t="s">
        <v>73</v>
      </c>
      <c r="C30" s="192"/>
      <c r="D30" s="198">
        <v>8250</v>
      </c>
      <c r="E30" s="198">
        <v>1440.9999999999998</v>
      </c>
      <c r="F30" s="198">
        <v>1565</v>
      </c>
      <c r="G30" s="198">
        <v>415</v>
      </c>
      <c r="H30" s="226">
        <v>11157</v>
      </c>
      <c r="I30" s="79"/>
    </row>
    <row r="31" spans="1:9">
      <c r="A31" s="154"/>
      <c r="B31" s="152" t="s">
        <v>74</v>
      </c>
      <c r="C31" s="693"/>
      <c r="D31" s="695">
        <v>4107</v>
      </c>
      <c r="E31" s="698">
        <v>1144.0000000000002</v>
      </c>
      <c r="F31" s="695">
        <v>1823.0000000000002</v>
      </c>
      <c r="G31" s="692">
        <v>456</v>
      </c>
      <c r="H31" s="668">
        <v>9920</v>
      </c>
      <c r="I31" s="79"/>
    </row>
    <row r="32" spans="1:9">
      <c r="A32" s="302" t="s">
        <v>141</v>
      </c>
      <c r="B32" s="111" t="s">
        <v>63</v>
      </c>
      <c r="C32" s="173"/>
      <c r="D32" s="198">
        <v>7644</v>
      </c>
      <c r="E32" s="198">
        <v>616</v>
      </c>
      <c r="F32" s="198">
        <v>3567.9999999999995</v>
      </c>
      <c r="G32" s="198">
        <v>470</v>
      </c>
      <c r="H32" s="226">
        <v>14355</v>
      </c>
      <c r="I32" s="79"/>
    </row>
    <row r="33" spans="1:12">
      <c r="A33" s="120"/>
      <c r="B33" s="115" t="s">
        <v>64</v>
      </c>
      <c r="C33" s="174"/>
      <c r="D33" s="198">
        <v>5743</v>
      </c>
      <c r="E33" s="198">
        <v>1258</v>
      </c>
      <c r="F33" s="198">
        <v>1753</v>
      </c>
      <c r="G33" s="198">
        <v>1681</v>
      </c>
      <c r="H33" s="226">
        <v>8652.0000000000018</v>
      </c>
      <c r="I33" s="79"/>
    </row>
    <row r="34" spans="1:12">
      <c r="A34" s="163"/>
      <c r="B34" s="164" t="s">
        <v>65</v>
      </c>
      <c r="C34" s="192"/>
      <c r="D34" s="198">
        <v>3535</v>
      </c>
      <c r="E34" s="198">
        <v>1235</v>
      </c>
      <c r="F34" s="198">
        <v>4362</v>
      </c>
      <c r="G34" s="198">
        <v>604</v>
      </c>
      <c r="H34" s="226">
        <v>14005</v>
      </c>
      <c r="I34" s="79"/>
    </row>
    <row r="35" spans="1:12">
      <c r="A35" s="165"/>
      <c r="B35" s="115" t="s">
        <v>66</v>
      </c>
      <c r="C35" s="174"/>
      <c r="D35" s="198">
        <v>4350</v>
      </c>
      <c r="E35" s="198">
        <v>810</v>
      </c>
      <c r="F35" s="198">
        <v>4139</v>
      </c>
      <c r="G35" s="198">
        <v>683</v>
      </c>
      <c r="H35" s="226">
        <v>14925.999999999998</v>
      </c>
      <c r="I35" s="79"/>
    </row>
    <row r="36" spans="1:12">
      <c r="A36" s="120"/>
      <c r="B36" s="115" t="s">
        <v>67</v>
      </c>
      <c r="C36" s="174"/>
      <c r="D36" s="198">
        <v>5724</v>
      </c>
      <c r="E36" s="198">
        <v>763.99999999999989</v>
      </c>
      <c r="F36" s="198">
        <v>4278.0000000000009</v>
      </c>
      <c r="G36" s="198">
        <v>600.00000000000011</v>
      </c>
      <c r="H36" s="226">
        <v>18352</v>
      </c>
      <c r="I36" s="79"/>
    </row>
    <row r="37" spans="1:12">
      <c r="A37" s="163"/>
      <c r="B37" s="164" t="s">
        <v>68</v>
      </c>
      <c r="C37" s="192"/>
      <c r="D37" s="198">
        <v>8004</v>
      </c>
      <c r="E37" s="198">
        <v>926.99999999999989</v>
      </c>
      <c r="F37" s="198">
        <v>2111</v>
      </c>
      <c r="G37" s="198">
        <v>485</v>
      </c>
      <c r="H37" s="226">
        <v>13647</v>
      </c>
      <c r="I37" s="79"/>
    </row>
    <row r="38" spans="1:12">
      <c r="A38" s="163"/>
      <c r="B38" s="115" t="s">
        <v>69</v>
      </c>
      <c r="C38" s="174"/>
      <c r="D38" s="198">
        <v>4873</v>
      </c>
      <c r="E38" s="198">
        <v>659</v>
      </c>
      <c r="F38" s="198">
        <v>1365.9999999999998</v>
      </c>
      <c r="G38" s="198">
        <v>742</v>
      </c>
      <c r="H38" s="226">
        <v>16886</v>
      </c>
      <c r="I38" s="79"/>
    </row>
    <row r="39" spans="1:12">
      <c r="A39" s="120"/>
      <c r="B39" s="115" t="s">
        <v>70</v>
      </c>
      <c r="C39" s="174"/>
      <c r="D39" s="198">
        <v>5670</v>
      </c>
      <c r="E39" s="198">
        <v>586</v>
      </c>
      <c r="F39" s="198">
        <v>1167</v>
      </c>
      <c r="G39" s="198">
        <v>535</v>
      </c>
      <c r="H39" s="226">
        <v>12846</v>
      </c>
      <c r="I39" s="79"/>
    </row>
    <row r="40" spans="1:12">
      <c r="A40" s="120"/>
      <c r="B40" s="164" t="s">
        <v>71</v>
      </c>
      <c r="C40" s="192"/>
      <c r="D40" s="198">
        <v>7955</v>
      </c>
      <c r="E40" s="198">
        <v>978</v>
      </c>
      <c r="F40" s="198">
        <v>5377</v>
      </c>
      <c r="G40" s="198">
        <v>290</v>
      </c>
      <c r="H40" s="226">
        <v>11697</v>
      </c>
      <c r="I40" s="79"/>
    </row>
    <row r="41" spans="1:12">
      <c r="A41" s="120"/>
      <c r="B41" s="164" t="s">
        <v>72</v>
      </c>
      <c r="C41" s="192"/>
      <c r="D41" s="198">
        <v>3702</v>
      </c>
      <c r="E41" s="198">
        <v>851</v>
      </c>
      <c r="F41" s="198">
        <v>1297</v>
      </c>
      <c r="G41" s="198">
        <v>509</v>
      </c>
      <c r="H41" s="226">
        <v>14999</v>
      </c>
      <c r="I41" s="79"/>
    </row>
    <row r="42" spans="1:12">
      <c r="A42" s="120"/>
      <c r="B42" s="164" t="s">
        <v>73</v>
      </c>
      <c r="C42" s="192"/>
      <c r="D42" s="448">
        <v>4743</v>
      </c>
      <c r="E42" s="448">
        <v>1976</v>
      </c>
      <c r="F42" s="448">
        <v>1253</v>
      </c>
      <c r="G42" s="448">
        <v>631</v>
      </c>
      <c r="H42" s="449">
        <v>25963</v>
      </c>
      <c r="I42" s="79"/>
    </row>
    <row r="43" spans="1:12" ht="12.75" thickBot="1">
      <c r="A43" s="90"/>
      <c r="B43" s="166" t="s">
        <v>74</v>
      </c>
      <c r="C43" s="194"/>
      <c r="D43" s="354">
        <v>6138.9999999999991</v>
      </c>
      <c r="E43" s="354">
        <v>1057</v>
      </c>
      <c r="F43" s="354">
        <v>1729.9999999999998</v>
      </c>
      <c r="G43" s="354">
        <v>501</v>
      </c>
      <c r="H43" s="355">
        <v>13604</v>
      </c>
      <c r="I43" s="79"/>
    </row>
    <row r="44" spans="1:12" s="10" customFormat="1" ht="12" customHeight="1">
      <c r="A44" s="53" t="str">
        <f>Titles!$A$12</f>
        <v>1 Data for 2020 and 2021 based on 2016 Census Definitions.</v>
      </c>
      <c r="B44" s="87"/>
      <c r="C44" s="408"/>
      <c r="D44" s="360"/>
      <c r="E44" s="54"/>
      <c r="F44" s="360"/>
      <c r="G44" s="360"/>
      <c r="H44" s="409"/>
      <c r="I44" s="79"/>
      <c r="J44" s="240"/>
      <c r="K44" s="341"/>
      <c r="L44" s="11"/>
    </row>
    <row r="45" spans="1:12">
      <c r="A45" s="402" t="s">
        <v>118</v>
      </c>
      <c r="B45" s="348"/>
      <c r="C45" s="348"/>
      <c r="D45" s="348"/>
      <c r="E45" s="401"/>
      <c r="F45" s="346"/>
      <c r="G45" s="346"/>
      <c r="H45" s="346"/>
      <c r="I45" s="347"/>
    </row>
    <row r="46" spans="1:12" s="347" customFormat="1" ht="10.9" customHeight="1">
      <c r="A46" s="361" t="str">
        <f>Titles!$A$10</f>
        <v>Source: CMHC Starts and Completion Survey, Market Absorption Survey</v>
      </c>
      <c r="B46" s="348"/>
      <c r="C46" s="348"/>
      <c r="D46" s="348"/>
      <c r="E46" s="362"/>
      <c r="F46" s="348"/>
      <c r="G46" s="348"/>
      <c r="H46" s="348"/>
    </row>
    <row r="47" spans="1:12" s="347" customFormat="1" ht="10.9" customHeight="1"/>
    <row r="48" spans="1:12" ht="12" customHeight="1">
      <c r="A48" s="94"/>
      <c r="B48" s="93"/>
      <c r="C48" s="93"/>
      <c r="D48" s="177"/>
      <c r="E48" s="177"/>
      <c r="F48" s="177"/>
      <c r="G48" s="202"/>
      <c r="H48" s="93"/>
      <c r="I48" s="13"/>
    </row>
    <row r="49" spans="1:9" ht="9.75" customHeight="1">
      <c r="I49" s="13"/>
    </row>
    <row r="61" spans="1:9">
      <c r="A61" s="53"/>
      <c r="B61" s="84"/>
      <c r="C61" s="408"/>
      <c r="D61" s="409"/>
      <c r="E61" s="409"/>
      <c r="F61" s="54"/>
    </row>
    <row r="62" spans="1:9" ht="15">
      <c r="A62" s="53"/>
      <c r="B62" s="178"/>
      <c r="C62" s="178"/>
      <c r="D62" s="178"/>
      <c r="E62" s="178"/>
      <c r="F62" s="54"/>
    </row>
  </sheetData>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L62"/>
  <sheetViews>
    <sheetView zoomScaleNormal="100" workbookViewId="0"/>
  </sheetViews>
  <sheetFormatPr defaultColWidth="11.5546875" defaultRowHeight="12"/>
  <cols>
    <col min="1" max="1" width="8.77734375" style="12" customWidth="1"/>
    <col min="2" max="2" width="9.21875" style="12" customWidth="1"/>
    <col min="3" max="4" width="8.77734375" style="12" customWidth="1"/>
    <col min="5" max="8" width="11" style="12" customWidth="1"/>
    <col min="9" max="16384" width="11.5546875" style="12"/>
  </cols>
  <sheetData>
    <row r="1" spans="1:9" s="185" customFormat="1" ht="15.95" customHeight="1">
      <c r="A1" s="493" t="s">
        <v>154</v>
      </c>
      <c r="B1" s="494"/>
      <c r="C1" s="494"/>
      <c r="D1" s="494"/>
      <c r="E1" s="494"/>
      <c r="F1" s="494"/>
      <c r="G1" s="494"/>
      <c r="H1" s="495"/>
      <c r="I1" s="184"/>
    </row>
    <row r="2" spans="1:9" s="185" customFormat="1" ht="15.95" customHeight="1">
      <c r="A2" s="496" t="s">
        <v>166</v>
      </c>
      <c r="B2" s="497"/>
      <c r="C2" s="497"/>
      <c r="D2" s="497"/>
      <c r="E2" s="497"/>
      <c r="F2" s="497"/>
      <c r="G2" s="497"/>
      <c r="H2" s="498"/>
      <c r="I2" s="184"/>
    </row>
    <row r="3" spans="1:9" s="185" customFormat="1" ht="15.95" customHeight="1" thickBot="1">
      <c r="A3" s="502"/>
      <c r="B3" s="539"/>
      <c r="C3" s="539"/>
      <c r="D3" s="539"/>
      <c r="E3" s="539"/>
      <c r="F3" s="539"/>
      <c r="G3" s="539"/>
      <c r="H3" s="540"/>
      <c r="I3" s="184"/>
    </row>
    <row r="4" spans="1:9" ht="23.25" customHeight="1">
      <c r="A4" s="83"/>
      <c r="B4" s="92"/>
      <c r="C4" s="124"/>
      <c r="D4" s="454" t="s">
        <v>19</v>
      </c>
      <c r="E4" s="454" t="s">
        <v>23</v>
      </c>
      <c r="F4" s="553" t="s">
        <v>108</v>
      </c>
      <c r="G4" s="454" t="s">
        <v>42</v>
      </c>
      <c r="H4" s="456" t="s">
        <v>43</v>
      </c>
      <c r="I4" s="79"/>
    </row>
    <row r="5" spans="1:9">
      <c r="A5" s="154" t="s">
        <v>96</v>
      </c>
      <c r="B5" s="148"/>
      <c r="C5" s="155"/>
      <c r="D5" s="455"/>
      <c r="E5" s="455"/>
      <c r="F5" s="554"/>
      <c r="G5" s="455"/>
      <c r="H5" s="424"/>
      <c r="I5" s="79"/>
    </row>
    <row r="6" spans="1:9" ht="13.5">
      <c r="A6" s="137" t="s">
        <v>130</v>
      </c>
      <c r="B6" s="186"/>
      <c r="C6" s="191"/>
      <c r="D6" s="198">
        <v>10720</v>
      </c>
      <c r="E6" s="198">
        <v>2225</v>
      </c>
      <c r="F6" s="198">
        <v>1694</v>
      </c>
      <c r="G6" s="198">
        <v>28141</v>
      </c>
      <c r="H6" s="226">
        <v>3499</v>
      </c>
      <c r="I6" s="79"/>
    </row>
    <row r="7" spans="1:9" ht="13.5">
      <c r="A7" s="85" t="s">
        <v>139</v>
      </c>
      <c r="B7" s="152"/>
      <c r="C7" s="119"/>
      <c r="D7" s="423">
        <v>11512</v>
      </c>
      <c r="E7" s="423">
        <v>1794</v>
      </c>
      <c r="F7" s="423">
        <v>1110</v>
      </c>
      <c r="G7" s="423">
        <v>22371</v>
      </c>
      <c r="H7" s="424">
        <v>3209</v>
      </c>
      <c r="I7" s="79"/>
    </row>
    <row r="8" spans="1:9">
      <c r="A8" s="314" t="s">
        <v>122</v>
      </c>
      <c r="B8" s="111" t="s">
        <v>63</v>
      </c>
      <c r="C8" s="173"/>
      <c r="D8" s="198">
        <v>10460.999999999998</v>
      </c>
      <c r="E8" s="198">
        <v>4181</v>
      </c>
      <c r="F8" s="198">
        <v>839</v>
      </c>
      <c r="G8" s="198">
        <v>25647.000000000004</v>
      </c>
      <c r="H8" s="226">
        <v>2929.0000000000005</v>
      </c>
      <c r="I8" s="79"/>
    </row>
    <row r="9" spans="1:9">
      <c r="A9" s="120"/>
      <c r="B9" s="115" t="s">
        <v>64</v>
      </c>
      <c r="C9" s="174"/>
      <c r="D9" s="198">
        <v>7738</v>
      </c>
      <c r="E9" s="198">
        <v>278.99999999999994</v>
      </c>
      <c r="F9" s="198">
        <v>1496</v>
      </c>
      <c r="G9" s="198">
        <v>25054</v>
      </c>
      <c r="H9" s="226">
        <v>4136</v>
      </c>
      <c r="I9" s="79"/>
    </row>
    <row r="10" spans="1:9">
      <c r="A10" s="163"/>
      <c r="B10" s="164" t="s">
        <v>65</v>
      </c>
      <c r="C10" s="192"/>
      <c r="D10" s="198">
        <v>6799.9999999999991</v>
      </c>
      <c r="E10" s="198">
        <v>529</v>
      </c>
      <c r="F10" s="198">
        <v>1805</v>
      </c>
      <c r="G10" s="198">
        <v>20909</v>
      </c>
      <c r="H10" s="226">
        <v>2080</v>
      </c>
      <c r="I10" s="351"/>
    </row>
    <row r="11" spans="1:9">
      <c r="A11" s="165"/>
      <c r="B11" s="115" t="s">
        <v>66</v>
      </c>
      <c r="C11" s="174"/>
      <c r="D11" s="198">
        <v>10379.000000000002</v>
      </c>
      <c r="E11" s="198">
        <v>820.00000000000011</v>
      </c>
      <c r="F11" s="198">
        <v>1008</v>
      </c>
      <c r="G11" s="198">
        <v>34079</v>
      </c>
      <c r="H11" s="226">
        <v>5358</v>
      </c>
      <c r="I11" s="79"/>
    </row>
    <row r="12" spans="1:9">
      <c r="A12" s="120"/>
      <c r="B12" s="115" t="s">
        <v>67</v>
      </c>
      <c r="C12" s="174"/>
      <c r="D12" s="198">
        <v>6778.0000000000009</v>
      </c>
      <c r="E12" s="198">
        <v>1028</v>
      </c>
      <c r="F12" s="198">
        <v>1775</v>
      </c>
      <c r="G12" s="198">
        <v>42796.000000000007</v>
      </c>
      <c r="H12" s="226">
        <v>2331</v>
      </c>
      <c r="I12" s="79"/>
    </row>
    <row r="13" spans="1:9">
      <c r="A13" s="163"/>
      <c r="B13" s="164" t="s">
        <v>68</v>
      </c>
      <c r="C13" s="192"/>
      <c r="D13" s="198">
        <v>15014.000000000002</v>
      </c>
      <c r="E13" s="198">
        <v>2806</v>
      </c>
      <c r="F13" s="198">
        <v>796</v>
      </c>
      <c r="G13" s="198">
        <v>41300</v>
      </c>
      <c r="H13" s="226">
        <v>2436</v>
      </c>
      <c r="I13" s="79"/>
    </row>
    <row r="14" spans="1:9">
      <c r="A14" s="163"/>
      <c r="B14" s="115" t="s">
        <v>69</v>
      </c>
      <c r="C14" s="174"/>
      <c r="D14" s="198">
        <v>16042.000000000002</v>
      </c>
      <c r="E14" s="198">
        <v>1456.9999999999998</v>
      </c>
      <c r="F14" s="198">
        <v>2976</v>
      </c>
      <c r="G14" s="198">
        <v>31753.999999999996</v>
      </c>
      <c r="H14" s="226">
        <v>3634</v>
      </c>
      <c r="I14" s="79"/>
    </row>
    <row r="15" spans="1:9">
      <c r="A15" s="120"/>
      <c r="B15" s="115" t="s">
        <v>70</v>
      </c>
      <c r="C15" s="174"/>
      <c r="D15" s="198">
        <v>14282</v>
      </c>
      <c r="E15" s="198">
        <v>5836</v>
      </c>
      <c r="F15" s="198">
        <v>1130</v>
      </c>
      <c r="G15" s="198">
        <v>19680</v>
      </c>
      <c r="H15" s="226">
        <v>1723.9999999999998</v>
      </c>
      <c r="I15" s="79"/>
    </row>
    <row r="16" spans="1:9">
      <c r="A16" s="120"/>
      <c r="B16" s="164" t="s">
        <v>71</v>
      </c>
      <c r="C16" s="192"/>
      <c r="D16" s="198">
        <v>10754.999999999998</v>
      </c>
      <c r="E16" s="198">
        <v>1564</v>
      </c>
      <c r="F16" s="198">
        <v>2041.9999999999998</v>
      </c>
      <c r="G16" s="198">
        <v>25041.999999999996</v>
      </c>
      <c r="H16" s="226">
        <v>6071.9999999999991</v>
      </c>
      <c r="I16" s="79"/>
    </row>
    <row r="17" spans="1:9">
      <c r="A17" s="120"/>
      <c r="B17" s="164" t="s">
        <v>72</v>
      </c>
      <c r="C17" s="192"/>
      <c r="D17" s="198">
        <v>9924</v>
      </c>
      <c r="E17" s="198">
        <v>3989</v>
      </c>
      <c r="F17" s="198">
        <v>2334</v>
      </c>
      <c r="G17" s="198">
        <v>15799</v>
      </c>
      <c r="H17" s="226">
        <v>3889</v>
      </c>
      <c r="I17" s="79"/>
    </row>
    <row r="18" spans="1:9">
      <c r="A18" s="120"/>
      <c r="B18" s="164" t="s">
        <v>73</v>
      </c>
      <c r="C18" s="192"/>
      <c r="D18" s="198">
        <v>10998.999999999998</v>
      </c>
      <c r="E18" s="198">
        <v>3506</v>
      </c>
      <c r="F18" s="198">
        <v>1611</v>
      </c>
      <c r="G18" s="198">
        <v>27805</v>
      </c>
      <c r="H18" s="226">
        <v>4211</v>
      </c>
      <c r="I18" s="79"/>
    </row>
    <row r="19" spans="1:9">
      <c r="A19" s="154"/>
      <c r="B19" s="152" t="s">
        <v>74</v>
      </c>
      <c r="C19" s="693"/>
      <c r="D19" s="695">
        <v>9006</v>
      </c>
      <c r="E19" s="698">
        <v>930</v>
      </c>
      <c r="F19" s="695">
        <v>2524</v>
      </c>
      <c r="G19" s="698">
        <v>27698</v>
      </c>
      <c r="H19" s="696">
        <v>3179.9999999999995</v>
      </c>
      <c r="I19" s="79"/>
    </row>
    <row r="20" spans="1:9">
      <c r="A20" s="302" t="s">
        <v>129</v>
      </c>
      <c r="B20" s="111" t="s">
        <v>63</v>
      </c>
      <c r="C20" s="173"/>
      <c r="D20" s="198">
        <v>9091</v>
      </c>
      <c r="E20" s="198">
        <v>1556</v>
      </c>
      <c r="F20" s="198">
        <v>2997</v>
      </c>
      <c r="G20" s="198">
        <v>13008.999999999998</v>
      </c>
      <c r="H20" s="226">
        <v>664</v>
      </c>
      <c r="I20" s="79"/>
    </row>
    <row r="21" spans="1:9">
      <c r="A21" s="120"/>
      <c r="B21" s="115" t="s">
        <v>64</v>
      </c>
      <c r="C21" s="174"/>
      <c r="D21" s="198">
        <v>8023</v>
      </c>
      <c r="E21" s="198">
        <v>3786</v>
      </c>
      <c r="F21" s="198">
        <v>2719.0000000000005</v>
      </c>
      <c r="G21" s="198">
        <v>20662</v>
      </c>
      <c r="H21" s="226">
        <v>5913</v>
      </c>
      <c r="I21" s="79"/>
    </row>
    <row r="22" spans="1:9">
      <c r="A22" s="163"/>
      <c r="B22" s="164" t="s">
        <v>65</v>
      </c>
      <c r="C22" s="192"/>
      <c r="D22" s="198">
        <v>15646</v>
      </c>
      <c r="E22" s="198">
        <v>1437</v>
      </c>
      <c r="F22" s="198">
        <v>633</v>
      </c>
      <c r="G22" s="198">
        <v>21046</v>
      </c>
      <c r="H22" s="226">
        <v>1212</v>
      </c>
      <c r="I22" s="79"/>
    </row>
    <row r="23" spans="1:9">
      <c r="A23" s="165"/>
      <c r="B23" s="115" t="s">
        <v>66</v>
      </c>
      <c r="C23" s="174"/>
      <c r="D23" s="198">
        <v>14209.999999999998</v>
      </c>
      <c r="E23" s="198">
        <v>606</v>
      </c>
      <c r="F23" s="198">
        <v>496</v>
      </c>
      <c r="G23" s="198">
        <v>15061</v>
      </c>
      <c r="H23" s="226">
        <v>5539</v>
      </c>
      <c r="I23" s="79"/>
    </row>
    <row r="24" spans="1:9">
      <c r="A24" s="120"/>
      <c r="B24" s="115" t="s">
        <v>67</v>
      </c>
      <c r="C24" s="174"/>
      <c r="D24" s="198">
        <v>7755</v>
      </c>
      <c r="E24" s="198">
        <v>1831.9999999999998</v>
      </c>
      <c r="F24" s="198">
        <v>507</v>
      </c>
      <c r="G24" s="198">
        <v>24970.999999999996</v>
      </c>
      <c r="H24" s="226">
        <v>3092</v>
      </c>
      <c r="I24" s="79"/>
    </row>
    <row r="25" spans="1:9">
      <c r="A25" s="163"/>
      <c r="B25" s="164" t="s">
        <v>68</v>
      </c>
      <c r="C25" s="192"/>
      <c r="D25" s="198">
        <v>7189</v>
      </c>
      <c r="E25" s="198">
        <v>2799.0000000000005</v>
      </c>
      <c r="F25" s="198">
        <v>585</v>
      </c>
      <c r="G25" s="198">
        <v>23468</v>
      </c>
      <c r="H25" s="226">
        <v>2325</v>
      </c>
      <c r="I25" s="79"/>
    </row>
    <row r="26" spans="1:9">
      <c r="A26" s="163"/>
      <c r="B26" s="115" t="s">
        <v>69</v>
      </c>
      <c r="C26" s="174"/>
      <c r="D26" s="198">
        <v>10869</v>
      </c>
      <c r="E26" s="198">
        <v>3474</v>
      </c>
      <c r="F26" s="198">
        <v>500</v>
      </c>
      <c r="G26" s="198">
        <v>24387</v>
      </c>
      <c r="H26" s="226">
        <v>4183</v>
      </c>
      <c r="I26" s="79"/>
    </row>
    <row r="27" spans="1:9">
      <c r="A27" s="120"/>
      <c r="B27" s="115" t="s">
        <v>70</v>
      </c>
      <c r="C27" s="174"/>
      <c r="D27" s="198">
        <v>9387</v>
      </c>
      <c r="E27" s="198">
        <v>2652</v>
      </c>
      <c r="F27" s="198">
        <v>1454.9999999999998</v>
      </c>
      <c r="G27" s="198">
        <v>29732.999999999996</v>
      </c>
      <c r="H27" s="226">
        <v>2765</v>
      </c>
      <c r="I27" s="79"/>
    </row>
    <row r="28" spans="1:9">
      <c r="A28" s="120"/>
      <c r="B28" s="164" t="s">
        <v>71</v>
      </c>
      <c r="C28" s="192"/>
      <c r="D28" s="198">
        <v>10432</v>
      </c>
      <c r="E28" s="198">
        <v>1095</v>
      </c>
      <c r="F28" s="198">
        <v>1055</v>
      </c>
      <c r="G28" s="198">
        <v>21424.999999999996</v>
      </c>
      <c r="H28" s="226">
        <v>2364</v>
      </c>
      <c r="I28" s="79"/>
    </row>
    <row r="29" spans="1:9">
      <c r="A29" s="120"/>
      <c r="B29" s="164" t="s">
        <v>72</v>
      </c>
      <c r="C29" s="192"/>
      <c r="D29" s="198">
        <v>17421</v>
      </c>
      <c r="E29" s="198">
        <v>1269.0000000000002</v>
      </c>
      <c r="F29" s="198">
        <v>1425</v>
      </c>
      <c r="G29" s="198">
        <v>15213.000000000002</v>
      </c>
      <c r="H29" s="226">
        <v>3421.0000000000005</v>
      </c>
      <c r="I29" s="79"/>
    </row>
    <row r="30" spans="1:9">
      <c r="A30" s="120"/>
      <c r="B30" s="164" t="s">
        <v>73</v>
      </c>
      <c r="C30" s="192"/>
      <c r="D30" s="198">
        <v>11773</v>
      </c>
      <c r="E30" s="198">
        <v>1218</v>
      </c>
      <c r="F30" s="198">
        <v>364.00000000000006</v>
      </c>
      <c r="G30" s="198">
        <v>33275.999999999993</v>
      </c>
      <c r="H30" s="226">
        <v>2783</v>
      </c>
      <c r="I30" s="79"/>
    </row>
    <row r="31" spans="1:9">
      <c r="A31" s="154"/>
      <c r="B31" s="152" t="s">
        <v>74</v>
      </c>
      <c r="C31" s="693"/>
      <c r="D31" s="695">
        <v>16861</v>
      </c>
      <c r="E31" s="698">
        <v>0</v>
      </c>
      <c r="F31" s="695">
        <v>516</v>
      </c>
      <c r="G31" s="695">
        <v>26263</v>
      </c>
      <c r="H31" s="696">
        <v>4238</v>
      </c>
      <c r="I31" s="79"/>
    </row>
    <row r="32" spans="1:9">
      <c r="A32" s="302" t="s">
        <v>141</v>
      </c>
      <c r="B32" s="111" t="s">
        <v>63</v>
      </c>
      <c r="C32" s="173"/>
      <c r="D32" s="198">
        <v>10944</v>
      </c>
      <c r="E32" s="198">
        <v>1221</v>
      </c>
      <c r="F32" s="198">
        <v>997</v>
      </c>
      <c r="G32" s="198">
        <v>17713</v>
      </c>
      <c r="H32" s="226">
        <v>2856</v>
      </c>
      <c r="I32" s="79"/>
    </row>
    <row r="33" spans="1:12">
      <c r="A33" s="120"/>
      <c r="B33" s="115" t="s">
        <v>64</v>
      </c>
      <c r="C33" s="174"/>
      <c r="D33" s="198">
        <v>12489</v>
      </c>
      <c r="E33" s="198">
        <v>3025</v>
      </c>
      <c r="F33" s="198">
        <v>2009.0000000000005</v>
      </c>
      <c r="G33" s="198">
        <v>27692</v>
      </c>
      <c r="H33" s="226">
        <v>2036</v>
      </c>
      <c r="I33" s="79"/>
    </row>
    <row r="34" spans="1:12">
      <c r="A34" s="163"/>
      <c r="B34" s="164" t="s">
        <v>65</v>
      </c>
      <c r="C34" s="192"/>
      <c r="D34" s="198">
        <v>9998</v>
      </c>
      <c r="E34" s="198">
        <v>3051</v>
      </c>
      <c r="F34" s="198">
        <v>789</v>
      </c>
      <c r="G34" s="198">
        <v>44909</v>
      </c>
      <c r="H34" s="226">
        <v>7231</v>
      </c>
      <c r="I34" s="79"/>
    </row>
    <row r="35" spans="1:12">
      <c r="A35" s="165"/>
      <c r="B35" s="115" t="s">
        <v>66</v>
      </c>
      <c r="C35" s="174"/>
      <c r="D35" s="198">
        <v>14142.999999999998</v>
      </c>
      <c r="E35" s="198">
        <v>1526</v>
      </c>
      <c r="F35" s="198">
        <v>653</v>
      </c>
      <c r="G35" s="198">
        <v>19078</v>
      </c>
      <c r="H35" s="226">
        <v>4180</v>
      </c>
      <c r="I35" s="79"/>
    </row>
    <row r="36" spans="1:12">
      <c r="A36" s="120"/>
      <c r="B36" s="115" t="s">
        <v>67</v>
      </c>
      <c r="C36" s="174"/>
      <c r="D36" s="198">
        <v>12340</v>
      </c>
      <c r="E36" s="198">
        <v>1101.9999999999998</v>
      </c>
      <c r="F36" s="198">
        <v>605</v>
      </c>
      <c r="G36" s="198">
        <v>30552.999999999996</v>
      </c>
      <c r="H36" s="226">
        <v>2304</v>
      </c>
      <c r="I36" s="79"/>
    </row>
    <row r="37" spans="1:12">
      <c r="A37" s="163"/>
      <c r="B37" s="164" t="s">
        <v>68</v>
      </c>
      <c r="C37" s="192"/>
      <c r="D37" s="198">
        <v>12341.999999999998</v>
      </c>
      <c r="E37" s="198">
        <v>3258</v>
      </c>
      <c r="F37" s="198">
        <v>1691</v>
      </c>
      <c r="G37" s="198">
        <v>44965.999999999993</v>
      </c>
      <c r="H37" s="226">
        <v>4099</v>
      </c>
      <c r="I37" s="79"/>
    </row>
    <row r="38" spans="1:12">
      <c r="A38" s="163"/>
      <c r="B38" s="115" t="s">
        <v>69</v>
      </c>
      <c r="C38" s="174"/>
      <c r="D38" s="198">
        <v>11288</v>
      </c>
      <c r="E38" s="198">
        <v>5454</v>
      </c>
      <c r="F38" s="198">
        <v>502</v>
      </c>
      <c r="G38" s="198">
        <v>24444</v>
      </c>
      <c r="H38" s="226">
        <v>7214</v>
      </c>
      <c r="I38" s="79"/>
    </row>
    <row r="39" spans="1:12">
      <c r="A39" s="120"/>
      <c r="B39" s="115" t="s">
        <v>70</v>
      </c>
      <c r="C39" s="174"/>
      <c r="D39" s="198">
        <v>14586</v>
      </c>
      <c r="E39" s="198">
        <v>5385</v>
      </c>
      <c r="F39" s="198">
        <v>572.00000000000011</v>
      </c>
      <c r="G39" s="198">
        <v>22413</v>
      </c>
      <c r="H39" s="226">
        <v>6975.0000000000009</v>
      </c>
      <c r="I39" s="79"/>
    </row>
    <row r="40" spans="1:12">
      <c r="A40" s="120"/>
      <c r="B40" s="164" t="s">
        <v>71</v>
      </c>
      <c r="C40" s="192"/>
      <c r="D40" s="198">
        <v>10681.999999999998</v>
      </c>
      <c r="E40" s="198">
        <v>2485.9999999999995</v>
      </c>
      <c r="F40" s="198">
        <v>1473.9999999999998</v>
      </c>
      <c r="G40" s="198">
        <v>14169</v>
      </c>
      <c r="H40" s="226">
        <v>4970.0000000000009</v>
      </c>
      <c r="I40" s="79"/>
    </row>
    <row r="41" spans="1:12">
      <c r="A41" s="120"/>
      <c r="B41" s="164" t="s">
        <v>72</v>
      </c>
      <c r="C41" s="192"/>
      <c r="D41" s="198">
        <v>17390</v>
      </c>
      <c r="E41" s="198">
        <v>1152.0000000000002</v>
      </c>
      <c r="F41" s="198">
        <v>823.00000000000011</v>
      </c>
      <c r="G41" s="198">
        <v>21174</v>
      </c>
      <c r="H41" s="226">
        <v>3988.0000000000005</v>
      </c>
      <c r="I41" s="79"/>
    </row>
    <row r="42" spans="1:12">
      <c r="A42" s="120"/>
      <c r="B42" s="164" t="s">
        <v>73</v>
      </c>
      <c r="C42" s="192"/>
      <c r="D42" s="198">
        <v>11422</v>
      </c>
      <c r="E42" s="198">
        <v>4763</v>
      </c>
      <c r="F42" s="198">
        <v>660</v>
      </c>
      <c r="G42" s="198">
        <v>18944</v>
      </c>
      <c r="H42" s="226">
        <v>4200</v>
      </c>
      <c r="I42" s="79"/>
    </row>
    <row r="43" spans="1:12" ht="13.5" customHeight="1" thickBot="1">
      <c r="A43" s="90"/>
      <c r="B43" s="166" t="s">
        <v>74</v>
      </c>
      <c r="C43" s="194"/>
      <c r="D43" s="224">
        <v>12889</v>
      </c>
      <c r="E43" s="224">
        <v>6694</v>
      </c>
      <c r="F43" s="224">
        <v>2195.0000000000005</v>
      </c>
      <c r="G43" s="224">
        <v>26630</v>
      </c>
      <c r="H43" s="227">
        <v>7801</v>
      </c>
      <c r="I43" s="79"/>
    </row>
    <row r="44" spans="1:12" s="197" customFormat="1" ht="12" customHeight="1">
      <c r="A44" s="417" t="str">
        <f>Titles!$A$12</f>
        <v>1 Data for 2020 and 2021 based on 2016 Census Definitions.</v>
      </c>
      <c r="B44" s="436"/>
      <c r="C44" s="436"/>
      <c r="D44" s="436"/>
      <c r="E44" s="418"/>
      <c r="G44" s="436"/>
      <c r="H44" s="437"/>
      <c r="I44" s="436"/>
      <c r="J44" s="436"/>
      <c r="K44" s="338"/>
      <c r="L44" s="438"/>
    </row>
    <row r="45" spans="1:12" s="197" customFormat="1" ht="15" customHeight="1">
      <c r="A45" s="53" t="s">
        <v>123</v>
      </c>
      <c r="B45" s="439"/>
      <c r="C45" s="440"/>
      <c r="D45" s="441"/>
      <c r="E45" s="54"/>
      <c r="F45" s="441"/>
      <c r="G45" s="441"/>
      <c r="H45" s="442"/>
      <c r="I45" s="438"/>
    </row>
    <row r="46" spans="1:12" s="444" customFormat="1" ht="13.5" customHeight="1">
      <c r="A46" s="445" t="str">
        <f>Titles!$A$10</f>
        <v>Source: CMHC Starts and Completion Survey, Market Absorption Survey</v>
      </c>
      <c r="B46" s="349"/>
      <c r="C46" s="349"/>
      <c r="D46" s="349"/>
      <c r="E46" s="362"/>
      <c r="F46" s="443"/>
      <c r="G46" s="443"/>
      <c r="H46" s="443"/>
    </row>
    <row r="47" spans="1:12" s="347" customFormat="1" ht="10.9" customHeight="1">
      <c r="A47" s="361"/>
      <c r="B47" s="348"/>
      <c r="C47" s="348"/>
      <c r="D47" s="348"/>
      <c r="E47" s="362"/>
      <c r="F47" s="348"/>
      <c r="G47" s="348"/>
      <c r="H47" s="348"/>
    </row>
    <row r="48" spans="1:12" ht="12" customHeight="1">
      <c r="A48" s="94"/>
      <c r="B48" s="93"/>
      <c r="C48" s="93"/>
      <c r="D48" s="93"/>
      <c r="E48" s="177"/>
      <c r="G48" s="177"/>
      <c r="H48" s="93"/>
      <c r="I48" s="13"/>
    </row>
    <row r="49" spans="1:9" ht="9.75" customHeight="1">
      <c r="I49" s="13"/>
    </row>
    <row r="61" spans="1:9">
      <c r="A61" s="53"/>
      <c r="B61" s="84"/>
      <c r="C61" s="408"/>
      <c r="D61" s="408"/>
      <c r="E61" s="409"/>
      <c r="F61" s="409"/>
      <c r="G61" s="54"/>
    </row>
    <row r="62" spans="1:9" ht="15">
      <c r="A62" s="53"/>
      <c r="B62" s="178"/>
      <c r="C62" s="178"/>
      <c r="D62" s="178"/>
      <c r="E62" s="178"/>
      <c r="F62" s="178"/>
      <c r="G62" s="54"/>
    </row>
  </sheetData>
  <pageMargins left="0.7" right="0.7" top="0.75" bottom="0.75" header="0.3" footer="0.3"/>
  <pageSetup scale="9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60"/>
  <sheetViews>
    <sheetView showGridLines="0" zoomScaleNormal="100" workbookViewId="0"/>
  </sheetViews>
  <sheetFormatPr defaultColWidth="11.5546875" defaultRowHeight="12"/>
  <cols>
    <col min="1" max="1" width="14.77734375" style="12" customWidth="1"/>
    <col min="2" max="3" width="10.77734375" style="12" customWidth="1"/>
    <col min="4" max="6" width="12.77734375" style="12" customWidth="1"/>
    <col min="7" max="16384" width="11.5546875" style="12"/>
  </cols>
  <sheetData>
    <row r="1" spans="1:7" s="10" customFormat="1" ht="15.95" customHeight="1">
      <c r="A1" s="493" t="s">
        <v>155</v>
      </c>
      <c r="B1" s="494"/>
      <c r="C1" s="494"/>
      <c r="D1" s="494"/>
      <c r="E1" s="494"/>
      <c r="F1" s="495"/>
      <c r="G1" s="11"/>
    </row>
    <row r="2" spans="1:7" s="10" customFormat="1" ht="15.95" customHeight="1">
      <c r="A2" s="496" t="s">
        <v>166</v>
      </c>
      <c r="B2" s="497"/>
      <c r="C2" s="497"/>
      <c r="D2" s="497"/>
      <c r="E2" s="497"/>
      <c r="F2" s="498"/>
      <c r="G2" s="11"/>
    </row>
    <row r="3" spans="1:7" s="10" customFormat="1" ht="15.95" customHeight="1" thickBot="1">
      <c r="A3" s="502"/>
      <c r="B3" s="539"/>
      <c r="C3" s="539"/>
      <c r="D3" s="539"/>
      <c r="E3" s="539"/>
      <c r="F3" s="540"/>
      <c r="G3" s="11"/>
    </row>
    <row r="4" spans="1:7">
      <c r="A4" s="122"/>
      <c r="B4" s="95"/>
      <c r="C4" s="124"/>
      <c r="D4" s="126"/>
      <c r="E4" s="126"/>
      <c r="F4" s="127"/>
      <c r="G4" s="79"/>
    </row>
    <row r="5" spans="1:7">
      <c r="A5" s="154" t="s">
        <v>96</v>
      </c>
      <c r="B5" s="148"/>
      <c r="C5" s="155"/>
      <c r="D5" s="156" t="s">
        <v>27</v>
      </c>
      <c r="E5" s="156" t="s">
        <v>40</v>
      </c>
      <c r="F5" s="157" t="s">
        <v>42</v>
      </c>
      <c r="G5" s="79"/>
    </row>
    <row r="6" spans="1:7">
      <c r="A6" s="303" t="s">
        <v>141</v>
      </c>
      <c r="B6" s="92"/>
      <c r="C6" s="103"/>
      <c r="D6" s="352"/>
      <c r="E6" s="352"/>
      <c r="F6" s="356"/>
      <c r="G6" s="79"/>
    </row>
    <row r="7" spans="1:7">
      <c r="A7" s="137" t="s">
        <v>78</v>
      </c>
      <c r="B7" s="141" t="s">
        <v>63</v>
      </c>
      <c r="C7" s="175"/>
      <c r="D7" s="198">
        <v>7429</v>
      </c>
      <c r="E7" s="198">
        <v>5898</v>
      </c>
      <c r="F7" s="226">
        <v>3517</v>
      </c>
      <c r="G7" s="79"/>
    </row>
    <row r="8" spans="1:7">
      <c r="A8" s="199"/>
      <c r="B8" s="115" t="s">
        <v>64</v>
      </c>
      <c r="C8" s="174"/>
      <c r="D8" s="198">
        <v>3150</v>
      </c>
      <c r="E8" s="198">
        <v>10592</v>
      </c>
      <c r="F8" s="226">
        <v>3560</v>
      </c>
      <c r="G8" s="79"/>
    </row>
    <row r="9" spans="1:7">
      <c r="A9" s="200"/>
      <c r="B9" s="164" t="s">
        <v>65</v>
      </c>
      <c r="C9" s="192"/>
      <c r="D9" s="198">
        <v>4226</v>
      </c>
      <c r="E9" s="198">
        <v>7829</v>
      </c>
      <c r="F9" s="226">
        <v>3509</v>
      </c>
      <c r="G9" s="79"/>
    </row>
    <row r="10" spans="1:7">
      <c r="A10" s="201"/>
      <c r="B10" s="115" t="s">
        <v>66</v>
      </c>
      <c r="C10" s="174"/>
      <c r="D10" s="198">
        <v>3586</v>
      </c>
      <c r="E10" s="198">
        <v>7174</v>
      </c>
      <c r="F10" s="226">
        <v>3118</v>
      </c>
      <c r="G10" s="79"/>
    </row>
    <row r="11" spans="1:7">
      <c r="A11" s="114"/>
      <c r="B11" s="115" t="s">
        <v>67</v>
      </c>
      <c r="C11" s="174"/>
      <c r="D11" s="198">
        <v>2699</v>
      </c>
      <c r="E11" s="198">
        <v>6092</v>
      </c>
      <c r="F11" s="226">
        <v>2953</v>
      </c>
      <c r="G11" s="79"/>
    </row>
    <row r="12" spans="1:7">
      <c r="A12" s="200"/>
      <c r="B12" s="164" t="s">
        <v>68</v>
      </c>
      <c r="C12" s="192"/>
      <c r="D12" s="198">
        <v>2735</v>
      </c>
      <c r="E12" s="198">
        <v>5441</v>
      </c>
      <c r="F12" s="226">
        <v>2822</v>
      </c>
      <c r="G12" s="79"/>
    </row>
    <row r="13" spans="1:7">
      <c r="A13" s="163"/>
      <c r="B13" s="115" t="s">
        <v>69</v>
      </c>
      <c r="C13" s="174"/>
      <c r="D13" s="198">
        <v>2702</v>
      </c>
      <c r="E13" s="198">
        <v>7966</v>
      </c>
      <c r="F13" s="226">
        <v>2628</v>
      </c>
      <c r="G13" s="79"/>
    </row>
    <row r="14" spans="1:7">
      <c r="A14" s="114"/>
      <c r="B14" s="115" t="s">
        <v>70</v>
      </c>
      <c r="C14" s="174"/>
      <c r="D14" s="198">
        <v>2381</v>
      </c>
      <c r="E14" s="198">
        <v>7436</v>
      </c>
      <c r="F14" s="226">
        <v>2613</v>
      </c>
      <c r="G14" s="79"/>
    </row>
    <row r="15" spans="1:7">
      <c r="A15" s="114"/>
      <c r="B15" s="164" t="s">
        <v>71</v>
      </c>
      <c r="C15" s="192"/>
      <c r="D15" s="198">
        <v>2470</v>
      </c>
      <c r="E15" s="198">
        <v>5805</v>
      </c>
      <c r="F15" s="226">
        <v>3069</v>
      </c>
      <c r="G15" s="79"/>
    </row>
    <row r="16" spans="1:7">
      <c r="A16" s="114"/>
      <c r="B16" s="164" t="s">
        <v>72</v>
      </c>
      <c r="C16" s="192"/>
      <c r="D16" s="198">
        <v>2470</v>
      </c>
      <c r="E16" s="198">
        <v>6629</v>
      </c>
      <c r="F16" s="226">
        <v>3030</v>
      </c>
      <c r="G16" s="79"/>
    </row>
    <row r="17" spans="1:7">
      <c r="A17" s="114"/>
      <c r="B17" s="164" t="s">
        <v>73</v>
      </c>
      <c r="C17" s="192"/>
      <c r="D17" s="198">
        <v>2470</v>
      </c>
      <c r="E17" s="198">
        <v>7687</v>
      </c>
      <c r="F17" s="226">
        <v>2816</v>
      </c>
      <c r="G17" s="79"/>
    </row>
    <row r="18" spans="1:7">
      <c r="A18" s="196"/>
      <c r="B18" s="152" t="s">
        <v>74</v>
      </c>
      <c r="C18" s="193"/>
      <c r="D18" s="316">
        <v>1681</v>
      </c>
      <c r="E18" s="316">
        <v>6309</v>
      </c>
      <c r="F18" s="226">
        <v>3074</v>
      </c>
      <c r="G18" s="79"/>
    </row>
    <row r="19" spans="1:7">
      <c r="A19" s="137" t="s">
        <v>49</v>
      </c>
      <c r="B19" s="141" t="s">
        <v>63</v>
      </c>
      <c r="C19" s="175"/>
      <c r="D19" s="315">
        <v>29465</v>
      </c>
      <c r="E19" s="315">
        <v>30876</v>
      </c>
      <c r="F19" s="225">
        <v>14196</v>
      </c>
      <c r="G19" s="79"/>
    </row>
    <row r="20" spans="1:7">
      <c r="A20" s="199"/>
      <c r="B20" s="115" t="s">
        <v>64</v>
      </c>
      <c r="C20" s="174"/>
      <c r="D20" s="198">
        <v>36759</v>
      </c>
      <c r="E20" s="198">
        <v>13788</v>
      </c>
      <c r="F20" s="226">
        <v>24131.999999999996</v>
      </c>
      <c r="G20" s="79"/>
    </row>
    <row r="21" spans="1:7">
      <c r="A21" s="200"/>
      <c r="B21" s="164" t="s">
        <v>65</v>
      </c>
      <c r="C21" s="192"/>
      <c r="D21" s="198">
        <v>26403</v>
      </c>
      <c r="E21" s="198">
        <v>55248.000000000007</v>
      </c>
      <c r="F21" s="226">
        <v>41400</v>
      </c>
      <c r="G21" s="79"/>
    </row>
    <row r="22" spans="1:7">
      <c r="A22" s="201"/>
      <c r="B22" s="115" t="s">
        <v>66</v>
      </c>
      <c r="C22" s="174"/>
      <c r="D22" s="198">
        <v>35766.999999999993</v>
      </c>
      <c r="E22" s="198">
        <v>26268</v>
      </c>
      <c r="F22" s="226">
        <v>15960</v>
      </c>
      <c r="G22" s="79"/>
    </row>
    <row r="23" spans="1:7">
      <c r="A23" s="114"/>
      <c r="B23" s="115" t="s">
        <v>67</v>
      </c>
      <c r="C23" s="174"/>
      <c r="D23" s="198">
        <v>25271</v>
      </c>
      <c r="E23" s="198">
        <v>24684</v>
      </c>
      <c r="F23" s="226">
        <v>27599.999999999996</v>
      </c>
      <c r="G23" s="79"/>
    </row>
    <row r="24" spans="1:7">
      <c r="A24" s="200"/>
      <c r="B24" s="164" t="s">
        <v>68</v>
      </c>
      <c r="C24" s="192"/>
      <c r="D24" s="198">
        <v>36275.000000000007</v>
      </c>
      <c r="E24" s="198">
        <v>30480</v>
      </c>
      <c r="F24" s="226">
        <v>42144</v>
      </c>
      <c r="G24" s="79"/>
    </row>
    <row r="25" spans="1:7">
      <c r="A25" s="163"/>
      <c r="B25" s="115" t="s">
        <v>69</v>
      </c>
      <c r="C25" s="174"/>
      <c r="D25" s="198">
        <v>27826</v>
      </c>
      <c r="E25" s="198">
        <v>38327.999999999993</v>
      </c>
      <c r="F25" s="226">
        <v>21816</v>
      </c>
      <c r="G25" s="79"/>
    </row>
    <row r="26" spans="1:7">
      <c r="A26" s="114"/>
      <c r="B26" s="115" t="s">
        <v>70</v>
      </c>
      <c r="C26" s="174"/>
      <c r="D26" s="198">
        <v>24430.999999999996</v>
      </c>
      <c r="E26" s="198">
        <v>39036</v>
      </c>
      <c r="F26" s="226">
        <v>19800</v>
      </c>
      <c r="G26" s="79"/>
    </row>
    <row r="27" spans="1:7">
      <c r="A27" s="114"/>
      <c r="B27" s="164" t="s">
        <v>71</v>
      </c>
      <c r="C27" s="192"/>
      <c r="D27" s="198">
        <v>31562</v>
      </c>
      <c r="E27" s="198">
        <v>49416.000000000007</v>
      </c>
      <c r="F27" s="226">
        <v>11100</v>
      </c>
      <c r="G27" s="79"/>
    </row>
    <row r="28" spans="1:7">
      <c r="A28" s="114"/>
      <c r="B28" s="164" t="s">
        <v>72</v>
      </c>
      <c r="C28" s="192"/>
      <c r="D28" s="198">
        <v>25810</v>
      </c>
      <c r="E28" s="198">
        <v>25259.999999999996</v>
      </c>
      <c r="F28" s="226">
        <v>18144.000000000004</v>
      </c>
      <c r="G28" s="79"/>
    </row>
    <row r="29" spans="1:7">
      <c r="A29" s="114"/>
      <c r="B29" s="164" t="s">
        <v>73</v>
      </c>
      <c r="C29" s="192"/>
      <c r="D29" s="198">
        <v>33742</v>
      </c>
      <c r="E29" s="198">
        <v>63023.999999999993</v>
      </c>
      <c r="F29" s="226">
        <v>16128</v>
      </c>
      <c r="G29" s="79"/>
    </row>
    <row r="30" spans="1:7">
      <c r="A30" s="196"/>
      <c r="B30" s="152" t="s">
        <v>74</v>
      </c>
      <c r="C30" s="193"/>
      <c r="D30" s="316">
        <v>21067</v>
      </c>
      <c r="E30" s="316">
        <v>23328</v>
      </c>
      <c r="F30" s="353">
        <v>23556</v>
      </c>
      <c r="G30" s="79"/>
    </row>
    <row r="31" spans="1:7">
      <c r="A31" s="137" t="s">
        <v>46</v>
      </c>
      <c r="B31" s="141" t="s">
        <v>63</v>
      </c>
      <c r="C31" s="175"/>
      <c r="D31" s="315">
        <v>36894.000000000007</v>
      </c>
      <c r="E31" s="315">
        <v>36774</v>
      </c>
      <c r="F31" s="225">
        <v>17713</v>
      </c>
      <c r="G31" s="79"/>
    </row>
    <row r="32" spans="1:7">
      <c r="A32" s="199"/>
      <c r="B32" s="115" t="s">
        <v>64</v>
      </c>
      <c r="C32" s="174"/>
      <c r="D32" s="198">
        <v>39909</v>
      </c>
      <c r="E32" s="198">
        <v>24380.000000000004</v>
      </c>
      <c r="F32" s="226">
        <v>27692</v>
      </c>
      <c r="G32" s="79"/>
    </row>
    <row r="33" spans="1:8">
      <c r="A33" s="200"/>
      <c r="B33" s="164" t="s">
        <v>65</v>
      </c>
      <c r="C33" s="192"/>
      <c r="D33" s="198">
        <v>30628.999999999996</v>
      </c>
      <c r="E33" s="198">
        <v>63077</v>
      </c>
      <c r="F33" s="226">
        <v>44909</v>
      </c>
      <c r="G33" s="79"/>
    </row>
    <row r="34" spans="1:8">
      <c r="A34" s="201"/>
      <c r="B34" s="115" t="s">
        <v>66</v>
      </c>
      <c r="C34" s="174"/>
      <c r="D34" s="198">
        <v>39353</v>
      </c>
      <c r="E34" s="198">
        <v>33442</v>
      </c>
      <c r="F34" s="226">
        <v>19078</v>
      </c>
      <c r="G34" s="79"/>
    </row>
    <row r="35" spans="1:8">
      <c r="A35" s="114"/>
      <c r="B35" s="115" t="s">
        <v>67</v>
      </c>
      <c r="C35" s="174"/>
      <c r="D35" s="198">
        <v>27970</v>
      </c>
      <c r="E35" s="198">
        <v>30776.000000000004</v>
      </c>
      <c r="F35" s="226">
        <v>30552.999999999996</v>
      </c>
      <c r="G35" s="79"/>
    </row>
    <row r="36" spans="1:8">
      <c r="A36" s="200"/>
      <c r="B36" s="164" t="s">
        <v>68</v>
      </c>
      <c r="C36" s="192"/>
      <c r="D36" s="198">
        <v>39010.000000000007</v>
      </c>
      <c r="E36" s="198">
        <v>35921</v>
      </c>
      <c r="F36" s="226">
        <v>44965.999999999993</v>
      </c>
      <c r="G36" s="79"/>
    </row>
    <row r="37" spans="1:8">
      <c r="A37" s="163"/>
      <c r="B37" s="115" t="s">
        <v>69</v>
      </c>
      <c r="C37" s="174"/>
      <c r="D37" s="198">
        <v>30528</v>
      </c>
      <c r="E37" s="198">
        <v>46294</v>
      </c>
      <c r="F37" s="226">
        <v>24444</v>
      </c>
      <c r="G37" s="79"/>
    </row>
    <row r="38" spans="1:8">
      <c r="A38" s="114"/>
      <c r="B38" s="115" t="s">
        <v>70</v>
      </c>
      <c r="C38" s="174"/>
      <c r="D38" s="198">
        <v>26811.999999999996</v>
      </c>
      <c r="E38" s="198">
        <v>46472</v>
      </c>
      <c r="F38" s="226">
        <v>22413</v>
      </c>
      <c r="G38" s="79"/>
    </row>
    <row r="39" spans="1:8">
      <c r="A39" s="114"/>
      <c r="B39" s="164" t="s">
        <v>71</v>
      </c>
      <c r="C39" s="192"/>
      <c r="D39" s="198">
        <v>34032</v>
      </c>
      <c r="E39" s="198">
        <v>55221</v>
      </c>
      <c r="F39" s="226">
        <v>14169</v>
      </c>
      <c r="G39" s="79"/>
    </row>
    <row r="40" spans="1:8">
      <c r="A40" s="114"/>
      <c r="B40" s="164" t="s">
        <v>72</v>
      </c>
      <c r="C40" s="192"/>
      <c r="D40" s="198">
        <v>28280</v>
      </c>
      <c r="E40" s="198">
        <v>31889</v>
      </c>
      <c r="F40" s="226">
        <v>21174</v>
      </c>
      <c r="G40" s="79"/>
    </row>
    <row r="41" spans="1:8">
      <c r="A41" s="114"/>
      <c r="B41" s="164" t="s">
        <v>73</v>
      </c>
      <c r="C41" s="192"/>
      <c r="D41" s="198">
        <v>36211.999999999993</v>
      </c>
      <c r="E41" s="198">
        <v>70711</v>
      </c>
      <c r="F41" s="226">
        <v>18944</v>
      </c>
      <c r="G41" s="79"/>
    </row>
    <row r="42" spans="1:8" ht="12.75" thickBot="1">
      <c r="A42" s="195"/>
      <c r="B42" s="166" t="s">
        <v>74</v>
      </c>
      <c r="C42" s="194"/>
      <c r="D42" s="354">
        <v>22748</v>
      </c>
      <c r="E42" s="354">
        <v>29637</v>
      </c>
      <c r="F42" s="355">
        <v>26630</v>
      </c>
      <c r="G42" s="79"/>
    </row>
    <row r="43" spans="1:8" ht="12" customHeight="1">
      <c r="A43" s="53" t="str">
        <f>Titles!$A$14</f>
        <v>2021  based on 2016 Census Definitions.</v>
      </c>
      <c r="B43" s="92"/>
      <c r="C43" s="92"/>
      <c r="D43" s="54"/>
      <c r="F43" s="340"/>
      <c r="G43" s="203"/>
      <c r="H43" s="92"/>
    </row>
    <row r="44" spans="1:8" ht="12" customHeight="1">
      <c r="A44" s="94" t="str">
        <f>Titles!$A$10</f>
        <v>Source: CMHC Starts and Completion Survey, Market Absorption Survey</v>
      </c>
      <c r="B44" s="93"/>
      <c r="C44" s="93"/>
      <c r="D44" s="177"/>
      <c r="E44" s="93"/>
      <c r="F44" s="93"/>
    </row>
    <row r="45" spans="1:8">
      <c r="D45" s="197"/>
    </row>
    <row r="59" spans="1:6">
      <c r="A59" s="53"/>
      <c r="B59" s="84"/>
      <c r="C59" s="408"/>
      <c r="D59" s="409"/>
      <c r="E59" s="409"/>
      <c r="F59" s="54"/>
    </row>
    <row r="60" spans="1:6" ht="15">
      <c r="A60" s="53"/>
      <c r="B60" s="178"/>
      <c r="C60" s="178"/>
      <c r="D60" s="178"/>
      <c r="E60" s="178"/>
      <c r="F60" s="54"/>
    </row>
  </sheetData>
  <phoneticPr fontId="11" type="noConversion"/>
  <pageMargins left="0.78740157480314965" right="0.51181102362204722" top="0.51181102362204722" bottom="0.51181102362204722" header="0.51181102362204722" footer="0.51181102362204722"/>
  <pageSetup orientation="portrait"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47"/>
  <sheetViews>
    <sheetView showGridLines="0" zoomScaleNormal="100" workbookViewId="0"/>
  </sheetViews>
  <sheetFormatPr defaultColWidth="11.5546875" defaultRowHeight="12"/>
  <cols>
    <col min="1" max="1" width="4.77734375" style="313" customWidth="1"/>
    <col min="2" max="3" width="7.21875" style="12" customWidth="1"/>
    <col min="4" max="5" width="9.77734375" style="12" customWidth="1"/>
    <col min="6" max="6" width="8.77734375" style="12" customWidth="1"/>
    <col min="7" max="8" width="9.77734375" style="12" customWidth="1"/>
    <col min="9" max="9" width="8.77734375" style="12" customWidth="1"/>
    <col min="10" max="16384" width="11.5546875" style="12"/>
  </cols>
  <sheetData>
    <row r="1" spans="1:10" s="10" customFormat="1" ht="16.5" customHeight="1">
      <c r="A1" s="511" t="s">
        <v>156</v>
      </c>
      <c r="B1" s="512"/>
      <c r="C1" s="512"/>
      <c r="D1" s="512"/>
      <c r="E1" s="512"/>
      <c r="F1" s="512"/>
      <c r="G1" s="512"/>
      <c r="H1" s="512"/>
      <c r="I1" s="513"/>
      <c r="J1" s="11"/>
    </row>
    <row r="2" spans="1:10" s="10" customFormat="1" ht="16.5" customHeight="1">
      <c r="A2" s="514" t="s">
        <v>113</v>
      </c>
      <c r="B2" s="515"/>
      <c r="C2" s="515"/>
      <c r="D2" s="515"/>
      <c r="E2" s="515"/>
      <c r="F2" s="515"/>
      <c r="G2" s="515"/>
      <c r="H2" s="515"/>
      <c r="I2" s="516"/>
      <c r="J2" s="11"/>
    </row>
    <row r="3" spans="1:10" s="10" customFormat="1" ht="18.75">
      <c r="A3" s="514" t="s">
        <v>168</v>
      </c>
      <c r="B3" s="517"/>
      <c r="C3" s="517"/>
      <c r="D3" s="517"/>
      <c r="E3" s="517"/>
      <c r="F3" s="517"/>
      <c r="G3" s="517"/>
      <c r="H3" s="517"/>
      <c r="I3" s="518"/>
      <c r="J3" s="11"/>
    </row>
    <row r="4" spans="1:10" s="10" customFormat="1" ht="15.75" thickBot="1">
      <c r="A4" s="582"/>
      <c r="B4" s="549"/>
      <c r="C4" s="549"/>
      <c r="D4" s="549"/>
      <c r="E4" s="549"/>
      <c r="F4" s="549"/>
      <c r="G4" s="549"/>
      <c r="H4" s="549"/>
      <c r="I4" s="550"/>
      <c r="J4" s="11"/>
    </row>
    <row r="5" spans="1:10">
      <c r="A5" s="307"/>
      <c r="B5" s="92"/>
      <c r="C5" s="124"/>
      <c r="D5" s="555" t="s">
        <v>94</v>
      </c>
      <c r="E5" s="467"/>
      <c r="F5" s="468"/>
      <c r="G5" s="556" t="s">
        <v>87</v>
      </c>
      <c r="H5" s="469"/>
      <c r="I5" s="470"/>
      <c r="J5" s="79"/>
    </row>
    <row r="6" spans="1:10" ht="12" customHeight="1">
      <c r="A6" s="307"/>
      <c r="B6" s="92"/>
      <c r="C6" s="103"/>
      <c r="D6" s="557"/>
      <c r="E6" s="556"/>
      <c r="F6" s="558"/>
      <c r="G6" s="559"/>
      <c r="H6" s="560"/>
      <c r="I6" s="561"/>
      <c r="J6" s="79"/>
    </row>
    <row r="7" spans="1:10" ht="12" customHeight="1">
      <c r="A7" s="307"/>
      <c r="B7" s="92"/>
      <c r="C7" s="103"/>
      <c r="D7" s="562"/>
      <c r="E7" s="563"/>
      <c r="F7" s="385"/>
      <c r="G7" s="562"/>
      <c r="H7" s="563"/>
      <c r="I7" s="564"/>
      <c r="J7" s="79"/>
    </row>
    <row r="8" spans="1:10" ht="12" customHeight="1">
      <c r="A8" s="457" t="s">
        <v>75</v>
      </c>
      <c r="B8" s="92"/>
      <c r="C8" s="103"/>
      <c r="D8" s="366" t="s">
        <v>116</v>
      </c>
      <c r="E8" s="365" t="s">
        <v>88</v>
      </c>
      <c r="F8" s="366" t="s">
        <v>91</v>
      </c>
      <c r="G8" s="366" t="s">
        <v>89</v>
      </c>
      <c r="H8" s="365" t="s">
        <v>88</v>
      </c>
      <c r="I8" s="367" t="s">
        <v>91</v>
      </c>
      <c r="J8" s="79"/>
    </row>
    <row r="9" spans="1:10" ht="12" customHeight="1">
      <c r="A9" s="305"/>
      <c r="B9" s="92"/>
      <c r="C9" s="103"/>
      <c r="D9" s="366" t="s">
        <v>117</v>
      </c>
      <c r="E9" s="366" t="s">
        <v>90</v>
      </c>
      <c r="F9" s="366" t="s">
        <v>114</v>
      </c>
      <c r="G9" s="366" t="s">
        <v>92</v>
      </c>
      <c r="H9" s="366" t="s">
        <v>90</v>
      </c>
      <c r="I9" s="367" t="s">
        <v>114</v>
      </c>
      <c r="J9" s="79"/>
    </row>
    <row r="10" spans="1:10" ht="12.75" customHeight="1">
      <c r="A10" s="305"/>
      <c r="B10" s="92"/>
      <c r="C10" s="103"/>
      <c r="E10" s="366" t="s">
        <v>93</v>
      </c>
      <c r="F10" s="103"/>
      <c r="H10" s="366" t="s">
        <v>93</v>
      </c>
      <c r="I10" s="458"/>
      <c r="J10" s="79"/>
    </row>
    <row r="11" spans="1:10" ht="12" customHeight="1">
      <c r="A11" s="368" t="s">
        <v>129</v>
      </c>
      <c r="B11" s="369" t="s">
        <v>59</v>
      </c>
      <c r="C11" s="370"/>
      <c r="D11" s="389">
        <v>70</v>
      </c>
      <c r="E11" s="389">
        <v>8047</v>
      </c>
      <c r="F11" s="389">
        <v>34361</v>
      </c>
      <c r="G11" s="389">
        <v>81</v>
      </c>
      <c r="H11" s="389">
        <v>8135</v>
      </c>
      <c r="I11" s="684">
        <v>144727</v>
      </c>
      <c r="J11" s="79"/>
    </row>
    <row r="12" spans="1:10" ht="12" customHeight="1">
      <c r="A12" s="371"/>
      <c r="B12" s="372" t="s">
        <v>60</v>
      </c>
      <c r="C12" s="373"/>
      <c r="D12" s="390">
        <v>72</v>
      </c>
      <c r="E12" s="390">
        <v>7578</v>
      </c>
      <c r="F12" s="390">
        <v>35349</v>
      </c>
      <c r="G12" s="390">
        <v>85</v>
      </c>
      <c r="H12" s="391">
        <v>7244</v>
      </c>
      <c r="I12" s="392">
        <v>220941</v>
      </c>
      <c r="J12" s="79"/>
    </row>
    <row r="13" spans="1:10" ht="12" customHeight="1">
      <c r="A13" s="371"/>
      <c r="B13" s="374" t="s">
        <v>61</v>
      </c>
      <c r="C13" s="373"/>
      <c r="D13" s="391">
        <v>76</v>
      </c>
      <c r="E13" s="391">
        <v>6525</v>
      </c>
      <c r="F13" s="391">
        <v>35586</v>
      </c>
      <c r="G13" s="391">
        <v>86</v>
      </c>
      <c r="H13" s="391">
        <v>6771</v>
      </c>
      <c r="I13" s="392">
        <v>148238</v>
      </c>
      <c r="J13" s="79"/>
    </row>
    <row r="14" spans="1:10" ht="12" customHeight="1">
      <c r="A14" s="375"/>
      <c r="B14" s="376" t="s">
        <v>62</v>
      </c>
      <c r="C14" s="377"/>
      <c r="D14" s="393">
        <v>81</v>
      </c>
      <c r="E14" s="394">
        <v>5374</v>
      </c>
      <c r="F14" s="394">
        <v>37654</v>
      </c>
      <c r="G14" s="393">
        <v>84</v>
      </c>
      <c r="H14" s="394">
        <v>6529</v>
      </c>
      <c r="I14" s="395">
        <v>150117</v>
      </c>
      <c r="J14" s="79"/>
    </row>
    <row r="15" spans="1:10" ht="12" customHeight="1">
      <c r="A15" s="368" t="s">
        <v>141</v>
      </c>
      <c r="B15" s="369" t="s">
        <v>59</v>
      </c>
      <c r="C15" s="370"/>
      <c r="D15" s="389">
        <v>82</v>
      </c>
      <c r="E15" s="390">
        <v>4757</v>
      </c>
      <c r="F15" s="391">
        <v>38441</v>
      </c>
      <c r="G15" s="389">
        <v>87</v>
      </c>
      <c r="H15" s="391">
        <v>5715</v>
      </c>
      <c r="I15" s="392">
        <v>151168</v>
      </c>
      <c r="J15" s="79"/>
    </row>
    <row r="16" spans="1:10" ht="12" customHeight="1">
      <c r="A16" s="371"/>
      <c r="B16" s="372" t="s">
        <v>60</v>
      </c>
      <c r="C16" s="373"/>
      <c r="D16" s="390">
        <v>83</v>
      </c>
      <c r="E16" s="390">
        <v>4011</v>
      </c>
      <c r="F16" s="390">
        <v>43036</v>
      </c>
      <c r="G16" s="390">
        <v>89</v>
      </c>
      <c r="H16" s="391">
        <v>5404</v>
      </c>
      <c r="I16" s="392">
        <v>150854</v>
      </c>
      <c r="J16" s="79"/>
    </row>
    <row r="17" spans="1:10" ht="12" customHeight="1">
      <c r="A17" s="371"/>
      <c r="B17" s="374" t="s">
        <v>61</v>
      </c>
      <c r="C17" s="373"/>
      <c r="D17" s="391">
        <v>83</v>
      </c>
      <c r="E17" s="391">
        <v>3925</v>
      </c>
      <c r="F17" s="391">
        <v>45353</v>
      </c>
      <c r="G17" s="391">
        <v>90</v>
      </c>
      <c r="H17" s="391">
        <v>4677</v>
      </c>
      <c r="I17" s="392">
        <v>153717</v>
      </c>
      <c r="J17" s="79"/>
    </row>
    <row r="18" spans="1:10" ht="12" customHeight="1">
      <c r="A18" s="375"/>
      <c r="B18" s="376" t="s">
        <v>62</v>
      </c>
      <c r="C18" s="377"/>
      <c r="D18" s="393">
        <v>82</v>
      </c>
      <c r="E18" s="394">
        <v>4117</v>
      </c>
      <c r="F18" s="394">
        <v>45960</v>
      </c>
      <c r="G18" s="393">
        <v>90</v>
      </c>
      <c r="H18" s="394">
        <v>4426</v>
      </c>
      <c r="I18" s="395">
        <v>156534</v>
      </c>
      <c r="J18" s="79"/>
    </row>
    <row r="19" spans="1:10" ht="12" customHeight="1">
      <c r="A19" s="368" t="s">
        <v>129</v>
      </c>
      <c r="B19" s="369" t="s">
        <v>63</v>
      </c>
      <c r="C19" s="378"/>
      <c r="D19" s="396">
        <v>72</v>
      </c>
      <c r="E19" s="396">
        <v>8164</v>
      </c>
      <c r="F19" s="396">
        <v>34817</v>
      </c>
      <c r="G19" s="396">
        <v>87</v>
      </c>
      <c r="H19" s="396">
        <v>8317</v>
      </c>
      <c r="I19" s="397">
        <v>144856</v>
      </c>
      <c r="J19" s="79"/>
    </row>
    <row r="20" spans="1:10" ht="12" customHeight="1">
      <c r="A20" s="371"/>
      <c r="B20" s="372" t="s">
        <v>64</v>
      </c>
      <c r="C20" s="379"/>
      <c r="D20" s="391">
        <v>70</v>
      </c>
      <c r="E20" s="391">
        <v>8218</v>
      </c>
      <c r="F20" s="391">
        <v>34112</v>
      </c>
      <c r="G20" s="391">
        <v>77</v>
      </c>
      <c r="H20" s="391">
        <v>8376</v>
      </c>
      <c r="I20" s="392">
        <v>144967</v>
      </c>
      <c r="J20" s="79"/>
    </row>
    <row r="21" spans="1:10" ht="12" customHeight="1">
      <c r="A21" s="380"/>
      <c r="B21" s="381" t="s">
        <v>65</v>
      </c>
      <c r="C21" s="382"/>
      <c r="D21" s="391">
        <v>66</v>
      </c>
      <c r="E21" s="390">
        <v>8047</v>
      </c>
      <c r="F21" s="391">
        <v>34361</v>
      </c>
      <c r="G21" s="391">
        <v>77</v>
      </c>
      <c r="H21" s="391">
        <v>8135</v>
      </c>
      <c r="I21" s="392">
        <v>144727</v>
      </c>
      <c r="J21" s="79"/>
    </row>
    <row r="22" spans="1:10" ht="12" customHeight="1">
      <c r="A22" s="383"/>
      <c r="B22" s="372" t="s">
        <v>66</v>
      </c>
      <c r="C22" s="379"/>
      <c r="D22" s="391">
        <v>77</v>
      </c>
      <c r="E22" s="390">
        <v>7770</v>
      </c>
      <c r="F22" s="391">
        <v>33741</v>
      </c>
      <c r="G22" s="391">
        <v>87</v>
      </c>
      <c r="H22" s="391">
        <v>8023</v>
      </c>
      <c r="I22" s="392">
        <v>144107</v>
      </c>
      <c r="J22" s="79"/>
    </row>
    <row r="23" spans="1:10" ht="12" customHeight="1">
      <c r="A23" s="371"/>
      <c r="B23" s="372" t="s">
        <v>67</v>
      </c>
      <c r="C23" s="379"/>
      <c r="D23" s="391">
        <v>70</v>
      </c>
      <c r="E23" s="390">
        <v>7584</v>
      </c>
      <c r="F23" s="391">
        <v>34457</v>
      </c>
      <c r="G23" s="391">
        <v>87</v>
      </c>
      <c r="H23" s="391">
        <v>7406</v>
      </c>
      <c r="I23" s="392">
        <v>144265</v>
      </c>
      <c r="J23" s="79"/>
    </row>
    <row r="24" spans="1:10" ht="12" customHeight="1">
      <c r="A24" s="380"/>
      <c r="B24" s="381" t="s">
        <v>68</v>
      </c>
      <c r="C24" s="382"/>
      <c r="D24" s="390">
        <v>71</v>
      </c>
      <c r="E24" s="390">
        <v>7578</v>
      </c>
      <c r="F24" s="390">
        <v>35349</v>
      </c>
      <c r="G24" s="390">
        <v>81</v>
      </c>
      <c r="H24" s="391">
        <v>7244</v>
      </c>
      <c r="I24" s="392">
        <v>220941</v>
      </c>
      <c r="J24" s="79"/>
    </row>
    <row r="25" spans="1:10" ht="12" customHeight="1">
      <c r="A25" s="380"/>
      <c r="B25" s="372" t="s">
        <v>69</v>
      </c>
      <c r="C25" s="379"/>
      <c r="D25" s="391">
        <v>77</v>
      </c>
      <c r="E25" s="391">
        <v>7055</v>
      </c>
      <c r="F25" s="391">
        <v>35162</v>
      </c>
      <c r="G25" s="391">
        <v>86</v>
      </c>
      <c r="H25" s="391">
        <v>7117</v>
      </c>
      <c r="I25" s="392">
        <v>146207</v>
      </c>
      <c r="J25" s="79"/>
    </row>
    <row r="26" spans="1:10" ht="12" customHeight="1">
      <c r="A26" s="371"/>
      <c r="B26" s="372" t="s">
        <v>70</v>
      </c>
      <c r="C26" s="379"/>
      <c r="D26" s="391">
        <v>76</v>
      </c>
      <c r="E26" s="391">
        <v>6813</v>
      </c>
      <c r="F26" s="391">
        <v>35273</v>
      </c>
      <c r="G26" s="391">
        <v>88</v>
      </c>
      <c r="H26" s="391">
        <v>7128</v>
      </c>
      <c r="I26" s="392">
        <v>148237</v>
      </c>
      <c r="J26" s="79"/>
    </row>
    <row r="27" spans="1:10" ht="12" customHeight="1">
      <c r="A27" s="371"/>
      <c r="B27" s="381" t="s">
        <v>71</v>
      </c>
      <c r="C27" s="382"/>
      <c r="D27" s="391">
        <v>74</v>
      </c>
      <c r="E27" s="391">
        <v>6525</v>
      </c>
      <c r="F27" s="391">
        <v>35586</v>
      </c>
      <c r="G27" s="391">
        <v>84</v>
      </c>
      <c r="H27" s="391">
        <v>6771</v>
      </c>
      <c r="I27" s="392">
        <v>148238</v>
      </c>
      <c r="J27" s="79"/>
    </row>
    <row r="28" spans="1:10" ht="12" customHeight="1">
      <c r="A28" s="371"/>
      <c r="B28" s="381" t="s">
        <v>72</v>
      </c>
      <c r="C28" s="382"/>
      <c r="D28" s="391">
        <v>78</v>
      </c>
      <c r="E28" s="391">
        <v>6102</v>
      </c>
      <c r="F28" s="391">
        <v>36690</v>
      </c>
      <c r="G28" s="391">
        <v>85</v>
      </c>
      <c r="H28" s="391">
        <v>6638</v>
      </c>
      <c r="I28" s="683">
        <v>148673</v>
      </c>
      <c r="J28" s="79"/>
    </row>
    <row r="29" spans="1:10" ht="12" customHeight="1">
      <c r="A29" s="371"/>
      <c r="B29" s="381" t="s">
        <v>73</v>
      </c>
      <c r="C29" s="382"/>
      <c r="D29" s="391">
        <v>82</v>
      </c>
      <c r="E29" s="391">
        <v>5720</v>
      </c>
      <c r="F29" s="391">
        <v>37754</v>
      </c>
      <c r="G29" s="391">
        <v>83</v>
      </c>
      <c r="H29" s="391">
        <v>6623</v>
      </c>
      <c r="I29" s="392">
        <v>149883</v>
      </c>
      <c r="J29" s="79"/>
    </row>
    <row r="30" spans="1:10" ht="12" customHeight="1">
      <c r="A30" s="375"/>
      <c r="B30" s="384" t="s">
        <v>74</v>
      </c>
      <c r="C30" s="385"/>
      <c r="D30" s="629">
        <v>84</v>
      </c>
      <c r="E30" s="629">
        <v>5374</v>
      </c>
      <c r="F30" s="629">
        <v>37654</v>
      </c>
      <c r="G30" s="629">
        <v>85</v>
      </c>
      <c r="H30" s="629">
        <v>6529</v>
      </c>
      <c r="I30" s="630">
        <v>150117</v>
      </c>
      <c r="J30" s="79"/>
    </row>
    <row r="31" spans="1:10" ht="12" customHeight="1">
      <c r="A31" s="368" t="s">
        <v>141</v>
      </c>
      <c r="B31" s="369" t="s">
        <v>63</v>
      </c>
      <c r="C31" s="378"/>
      <c r="D31" s="396">
        <v>84</v>
      </c>
      <c r="E31" s="616">
        <v>5183</v>
      </c>
      <c r="F31" s="396">
        <v>37687</v>
      </c>
      <c r="G31" s="396">
        <v>74</v>
      </c>
      <c r="H31" s="396">
        <v>6548</v>
      </c>
      <c r="I31" s="397">
        <v>152464</v>
      </c>
      <c r="J31" s="79"/>
    </row>
    <row r="32" spans="1:10" ht="12" customHeight="1">
      <c r="A32" s="371"/>
      <c r="B32" s="372" t="s">
        <v>64</v>
      </c>
      <c r="C32" s="379"/>
      <c r="D32" s="391">
        <v>81</v>
      </c>
      <c r="E32" s="391">
        <v>4952</v>
      </c>
      <c r="F32" s="391">
        <v>37747</v>
      </c>
      <c r="G32" s="391">
        <v>90</v>
      </c>
      <c r="H32" s="391">
        <v>6352</v>
      </c>
      <c r="I32" s="392">
        <v>151895</v>
      </c>
      <c r="J32" s="79"/>
    </row>
    <row r="33" spans="1:10" ht="12" customHeight="1">
      <c r="A33" s="380"/>
      <c r="B33" s="381" t="s">
        <v>65</v>
      </c>
      <c r="C33" s="382"/>
      <c r="D33" s="391">
        <v>82</v>
      </c>
      <c r="E33" s="390">
        <v>4757</v>
      </c>
      <c r="F33" s="391">
        <v>38441</v>
      </c>
      <c r="G33" s="391">
        <v>92</v>
      </c>
      <c r="H33" s="391">
        <v>5715</v>
      </c>
      <c r="I33" s="392">
        <v>151168</v>
      </c>
      <c r="J33" s="79"/>
    </row>
    <row r="34" spans="1:10" ht="12" customHeight="1">
      <c r="A34" s="383"/>
      <c r="B34" s="372" t="s">
        <v>66</v>
      </c>
      <c r="C34" s="379"/>
      <c r="D34" s="391">
        <v>83</v>
      </c>
      <c r="E34" s="390">
        <v>4458</v>
      </c>
      <c r="F34" s="391">
        <v>40766</v>
      </c>
      <c r="G34" s="391">
        <v>91</v>
      </c>
      <c r="H34" s="391">
        <v>5518</v>
      </c>
      <c r="I34" s="392">
        <v>149657</v>
      </c>
      <c r="J34" s="79"/>
    </row>
    <row r="35" spans="1:10" ht="12" customHeight="1">
      <c r="A35" s="371"/>
      <c r="B35" s="372" t="s">
        <v>67</v>
      </c>
      <c r="C35" s="379"/>
      <c r="D35" s="391">
        <v>84</v>
      </c>
      <c r="E35" s="390">
        <v>4157</v>
      </c>
      <c r="F35" s="391">
        <v>41963</v>
      </c>
      <c r="G35" s="391">
        <v>85</v>
      </c>
      <c r="H35" s="391">
        <v>5427</v>
      </c>
      <c r="I35" s="392">
        <v>150286</v>
      </c>
      <c r="J35" s="79"/>
    </row>
    <row r="36" spans="1:10" ht="12" customHeight="1">
      <c r="A36" s="380"/>
      <c r="B36" s="381" t="s">
        <v>68</v>
      </c>
      <c r="C36" s="382"/>
      <c r="D36" s="390">
        <v>83</v>
      </c>
      <c r="E36" s="390">
        <v>4011</v>
      </c>
      <c r="F36" s="390">
        <v>43036</v>
      </c>
      <c r="G36" s="390">
        <v>89</v>
      </c>
      <c r="H36" s="391">
        <v>5404</v>
      </c>
      <c r="I36" s="392">
        <v>150854</v>
      </c>
      <c r="J36" s="79"/>
    </row>
    <row r="37" spans="1:10" ht="12" customHeight="1">
      <c r="A37" s="380"/>
      <c r="B37" s="372" t="s">
        <v>69</v>
      </c>
      <c r="C37" s="379"/>
      <c r="D37" s="391">
        <v>84</v>
      </c>
      <c r="E37" s="391">
        <v>3834</v>
      </c>
      <c r="F37" s="391">
        <v>44252</v>
      </c>
      <c r="G37" s="391">
        <v>90</v>
      </c>
      <c r="H37" s="391">
        <v>5125</v>
      </c>
      <c r="I37" s="392">
        <v>152433</v>
      </c>
      <c r="J37" s="79"/>
    </row>
    <row r="38" spans="1:10" ht="12" customHeight="1">
      <c r="A38" s="371"/>
      <c r="B38" s="372" t="s">
        <v>70</v>
      </c>
      <c r="C38" s="379"/>
      <c r="D38" s="391">
        <v>83</v>
      </c>
      <c r="E38" s="391">
        <v>3857</v>
      </c>
      <c r="F38" s="391">
        <v>45117</v>
      </c>
      <c r="G38" s="391">
        <v>90</v>
      </c>
      <c r="H38" s="391">
        <v>5103</v>
      </c>
      <c r="I38" s="392">
        <v>153374</v>
      </c>
      <c r="J38" s="79"/>
    </row>
    <row r="39" spans="1:10" ht="12" customHeight="1">
      <c r="A39" s="371"/>
      <c r="B39" s="381" t="s">
        <v>71</v>
      </c>
      <c r="C39" s="382"/>
      <c r="D39" s="391">
        <v>83</v>
      </c>
      <c r="E39" s="391">
        <v>3925</v>
      </c>
      <c r="F39" s="391">
        <v>45353</v>
      </c>
      <c r="G39" s="391">
        <v>93</v>
      </c>
      <c r="H39" s="391">
        <v>4677</v>
      </c>
      <c r="I39" s="392">
        <v>153717</v>
      </c>
      <c r="J39" s="79"/>
    </row>
    <row r="40" spans="1:10" ht="12" customHeight="1">
      <c r="A40" s="371"/>
      <c r="B40" s="381" t="s">
        <v>72</v>
      </c>
      <c r="C40" s="382"/>
      <c r="D40" s="391">
        <v>83</v>
      </c>
      <c r="E40" s="391">
        <v>3970</v>
      </c>
      <c r="F40" s="391">
        <v>45665</v>
      </c>
      <c r="G40" s="391">
        <v>88</v>
      </c>
      <c r="H40" s="391">
        <v>4531</v>
      </c>
      <c r="I40" s="683">
        <v>155094</v>
      </c>
      <c r="J40" s="79"/>
    </row>
    <row r="41" spans="1:10" ht="12" customHeight="1">
      <c r="A41" s="371"/>
      <c r="B41" s="381" t="s">
        <v>73</v>
      </c>
      <c r="C41" s="382"/>
      <c r="D41" s="391">
        <v>82</v>
      </c>
      <c r="E41" s="391">
        <v>4080</v>
      </c>
      <c r="F41" s="391">
        <v>46214</v>
      </c>
      <c r="G41" s="391">
        <v>93</v>
      </c>
      <c r="H41" s="391">
        <v>4359</v>
      </c>
      <c r="I41" s="392">
        <v>157584</v>
      </c>
      <c r="J41" s="79"/>
    </row>
    <row r="42" spans="1:10" ht="12" customHeight="1" thickBot="1">
      <c r="A42" s="386"/>
      <c r="B42" s="387" t="s">
        <v>74</v>
      </c>
      <c r="C42" s="388"/>
      <c r="D42" s="398">
        <v>82</v>
      </c>
      <c r="E42" s="398">
        <v>4117</v>
      </c>
      <c r="F42" s="398">
        <v>45960</v>
      </c>
      <c r="G42" s="398">
        <v>90</v>
      </c>
      <c r="H42" s="398">
        <v>4426</v>
      </c>
      <c r="I42" s="399">
        <v>156534</v>
      </c>
      <c r="J42" s="79"/>
    </row>
    <row r="43" spans="1:10" ht="12" customHeight="1">
      <c r="A43" s="53" t="str">
        <f>Titles!$A$8</f>
        <v>Data for  2020 and  2021  based on 2016 Census Definitions.</v>
      </c>
      <c r="B43" s="92"/>
      <c r="C43" s="92"/>
      <c r="D43" s="340"/>
      <c r="F43" s="54"/>
      <c r="G43" s="340"/>
      <c r="H43" s="203"/>
      <c r="I43" s="410"/>
      <c r="J43" s="79"/>
    </row>
    <row r="44" spans="1:10" ht="12" customHeight="1">
      <c r="A44" s="53" t="s">
        <v>124</v>
      </c>
      <c r="B44" s="92"/>
      <c r="C44" s="92"/>
      <c r="D44" s="340"/>
      <c r="F44" s="54"/>
      <c r="G44" s="340"/>
      <c r="H44" s="203"/>
      <c r="I44" s="92"/>
    </row>
    <row r="45" spans="1:10" s="434" customFormat="1" ht="12" customHeight="1">
      <c r="A45" s="404" t="str">
        <f>Titles!$A$10</f>
        <v>Source: CMHC Starts and Completion Survey, Market Absorption Survey</v>
      </c>
      <c r="B45" s="433"/>
      <c r="C45" s="433"/>
      <c r="D45" s="446"/>
      <c r="E45" s="446"/>
      <c r="F45" s="177"/>
      <c r="G45" s="433"/>
      <c r="H45" s="433"/>
      <c r="I45" s="433"/>
    </row>
    <row r="46" spans="1:10" ht="12" customHeight="1">
      <c r="A46" s="414"/>
      <c r="B46" s="412"/>
      <c r="C46" s="412"/>
      <c r="D46" s="413"/>
      <c r="E46" s="413"/>
      <c r="F46" s="415"/>
      <c r="G46" s="357"/>
      <c r="H46" s="93"/>
      <c r="I46" s="93"/>
    </row>
    <row r="47" spans="1:10" ht="9.75" customHeight="1"/>
  </sheetData>
  <phoneticPr fontId="11" type="noConversion"/>
  <pageMargins left="0.78740157480314965" right="0.51181102362204722" top="0.51181102362204722" bottom="0.51181102362204722" header="0.51181102362204722" footer="0.51181102362204722"/>
  <pageSetup orientation="portrait" r:id="rId1"/>
  <headerFooter alignWithMargins="0"/>
  <ignoredErrors>
    <ignoredError sqref="J15:IV15" numberStoredAsText="1"/>
    <ignoredError sqref="A45" unlockedFormula="1"/>
  </ignoredError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O57"/>
  <sheetViews>
    <sheetView showGridLines="0" zoomScaleNormal="100" workbookViewId="0"/>
  </sheetViews>
  <sheetFormatPr defaultColWidth="11.5546875" defaultRowHeight="15"/>
  <cols>
    <col min="1" max="1" width="4.21875" customWidth="1"/>
    <col min="2" max="2" width="8.5546875" customWidth="1"/>
    <col min="3" max="3" width="8.44140625" customWidth="1"/>
    <col min="4" max="4" width="7.33203125" customWidth="1"/>
    <col min="5" max="5" width="6.21875" customWidth="1"/>
    <col min="6" max="6" width="6.88671875" customWidth="1"/>
    <col min="7" max="7" width="7.33203125" customWidth="1"/>
    <col min="8" max="8" width="6.33203125" customWidth="1"/>
    <col min="9" max="9" width="6.21875" customWidth="1"/>
    <col min="10" max="10" width="7.33203125" customWidth="1"/>
    <col min="11" max="11" width="6.21875" customWidth="1"/>
    <col min="12" max="12" width="6.33203125" customWidth="1"/>
    <col min="13" max="13" width="7.6640625" customWidth="1"/>
  </cols>
  <sheetData>
    <row r="1" spans="1:13" ht="15.95" customHeight="1">
      <c r="A1" s="484" t="s">
        <v>158</v>
      </c>
      <c r="B1" s="485"/>
      <c r="C1" s="485"/>
      <c r="D1" s="485"/>
      <c r="E1" s="485"/>
      <c r="F1" s="485"/>
      <c r="G1" s="485"/>
      <c r="H1" s="485"/>
      <c r="I1" s="485"/>
      <c r="J1" s="485"/>
      <c r="K1" s="485"/>
      <c r="L1" s="486"/>
    </row>
    <row r="2" spans="1:13" ht="15.95" customHeight="1">
      <c r="A2" s="487" t="s">
        <v>95</v>
      </c>
      <c r="B2" s="488"/>
      <c r="C2" s="488"/>
      <c r="D2" s="488"/>
      <c r="E2" s="488"/>
      <c r="F2" s="488"/>
      <c r="G2" s="488"/>
      <c r="H2" s="488"/>
      <c r="I2" s="488"/>
      <c r="J2" s="488"/>
      <c r="K2" s="488"/>
      <c r="L2" s="489"/>
    </row>
    <row r="3" spans="1:13" ht="15.95" customHeight="1">
      <c r="A3" s="565"/>
      <c r="B3" s="566"/>
      <c r="C3" s="567"/>
      <c r="D3" s="567"/>
      <c r="E3" s="567"/>
      <c r="F3" s="567"/>
      <c r="G3" s="567"/>
      <c r="H3" s="567"/>
      <c r="I3" s="567"/>
      <c r="J3" s="567"/>
      <c r="K3" s="567"/>
      <c r="L3" s="568"/>
    </row>
    <row r="4" spans="1:13" ht="15.95" customHeight="1" thickBot="1">
      <c r="A4" s="569"/>
      <c r="B4" s="570"/>
      <c r="C4" s="571"/>
      <c r="D4" s="571"/>
      <c r="E4" s="571"/>
      <c r="F4" s="571"/>
      <c r="G4" s="571"/>
      <c r="H4" s="571"/>
      <c r="I4" s="571"/>
      <c r="J4" s="571"/>
      <c r="K4" s="571"/>
      <c r="L4" s="572"/>
    </row>
    <row r="5" spans="1:13" ht="12" customHeight="1">
      <c r="A5" s="50"/>
      <c r="B5" s="239"/>
      <c r="C5" s="56"/>
      <c r="D5" s="522" t="s">
        <v>100</v>
      </c>
      <c r="E5" s="523"/>
      <c r="F5" s="524"/>
      <c r="G5" s="522" t="s">
        <v>98</v>
      </c>
      <c r="H5" s="523"/>
      <c r="I5" s="524"/>
      <c r="J5" s="522" t="s">
        <v>14</v>
      </c>
      <c r="K5" s="523"/>
      <c r="L5" s="525"/>
    </row>
    <row r="6" spans="1:13" ht="12" customHeight="1">
      <c r="A6" s="50"/>
      <c r="B6" s="239"/>
      <c r="C6" s="56"/>
      <c r="D6" s="522" t="s">
        <v>101</v>
      </c>
      <c r="E6" s="471"/>
      <c r="F6" s="573"/>
      <c r="G6" s="522"/>
      <c r="H6" s="523"/>
      <c r="I6" s="524"/>
      <c r="J6" s="460"/>
      <c r="K6" s="52"/>
      <c r="L6" s="461"/>
    </row>
    <row r="7" spans="1:13" ht="24.75" customHeight="1">
      <c r="A7" s="48" t="s">
        <v>96</v>
      </c>
      <c r="B7" s="240"/>
      <c r="C7" s="56"/>
      <c r="D7" s="574"/>
      <c r="E7" s="575"/>
      <c r="F7" s="576"/>
      <c r="G7" s="526"/>
      <c r="H7" s="527"/>
      <c r="I7" s="528"/>
      <c r="L7" s="459"/>
    </row>
    <row r="8" spans="1:13" ht="12" customHeight="1">
      <c r="A8" s="48"/>
      <c r="B8" s="240"/>
      <c r="C8" s="56"/>
      <c r="D8" s="233" t="s">
        <v>53</v>
      </c>
      <c r="E8" s="236" t="s">
        <v>56</v>
      </c>
      <c r="F8" s="462" t="s">
        <v>46</v>
      </c>
      <c r="G8" s="233" t="s">
        <v>53</v>
      </c>
      <c r="H8" s="236" t="s">
        <v>56</v>
      </c>
      <c r="I8" s="462" t="s">
        <v>46</v>
      </c>
      <c r="J8" s="233" t="s">
        <v>53</v>
      </c>
      <c r="K8" s="233" t="s">
        <v>56</v>
      </c>
      <c r="L8" s="464" t="s">
        <v>46</v>
      </c>
      <c r="M8" s="158"/>
    </row>
    <row r="9" spans="1:13" ht="12" customHeight="1">
      <c r="A9" s="48"/>
      <c r="B9" s="240"/>
      <c r="C9" s="56"/>
      <c r="D9" s="234" t="s">
        <v>55</v>
      </c>
      <c r="E9" s="236" t="s">
        <v>58</v>
      </c>
      <c r="F9" s="463"/>
      <c r="G9" s="234" t="s">
        <v>55</v>
      </c>
      <c r="H9" s="236" t="s">
        <v>58</v>
      </c>
      <c r="I9" s="463"/>
      <c r="J9" s="234" t="s">
        <v>55</v>
      </c>
      <c r="K9" s="236" t="s">
        <v>58</v>
      </c>
      <c r="L9" s="237"/>
      <c r="M9" s="158"/>
    </row>
    <row r="10" spans="1:13" ht="12" customHeight="1">
      <c r="A10" s="48"/>
      <c r="B10" s="240"/>
      <c r="C10" s="56"/>
      <c r="D10" s="235"/>
      <c r="E10" s="236"/>
      <c r="F10" s="232"/>
      <c r="G10" s="235"/>
      <c r="H10" s="236"/>
      <c r="I10" s="232"/>
      <c r="J10" s="235"/>
      <c r="L10" s="237"/>
      <c r="M10" s="158"/>
    </row>
    <row r="11" spans="1:13" ht="12" customHeight="1">
      <c r="A11" s="48"/>
      <c r="B11" s="240"/>
      <c r="C11" s="56"/>
      <c r="D11" s="235"/>
      <c r="E11" s="236"/>
      <c r="F11" s="232"/>
      <c r="G11" s="235"/>
      <c r="H11" s="236"/>
      <c r="I11" s="232"/>
      <c r="J11" s="235"/>
      <c r="L11" s="237"/>
      <c r="M11" s="158"/>
    </row>
    <row r="12" spans="1:13" ht="12" customHeight="1">
      <c r="A12" s="51"/>
      <c r="B12" s="241"/>
      <c r="C12" s="57"/>
      <c r="D12" s="231"/>
      <c r="E12" s="231"/>
      <c r="G12" s="231"/>
      <c r="H12" s="231"/>
      <c r="J12" s="231"/>
      <c r="K12" s="231"/>
      <c r="L12" s="237"/>
      <c r="M12" s="158"/>
    </row>
    <row r="13" spans="1:13" ht="12" customHeight="1">
      <c r="A13" s="319" t="s">
        <v>141</v>
      </c>
      <c r="B13" s="320" t="s">
        <v>59</v>
      </c>
      <c r="C13" s="321"/>
      <c r="D13" s="20">
        <v>73117</v>
      </c>
      <c r="E13" s="20">
        <v>190714.00000000003</v>
      </c>
      <c r="F13" s="40">
        <v>263831</v>
      </c>
      <c r="G13" s="20">
        <v>19750.000000000004</v>
      </c>
      <c r="H13" s="20">
        <v>5236.0000000000009</v>
      </c>
      <c r="I13" s="20">
        <v>24985.999999999996</v>
      </c>
      <c r="J13" s="20">
        <f t="shared" ref="J13:K16" si="0">IF(OR(D13="",G13=""),"",D13+G13)</f>
        <v>92867</v>
      </c>
      <c r="K13" s="20">
        <f t="shared" si="0"/>
        <v>195950.00000000003</v>
      </c>
      <c r="L13" s="238">
        <f>IF(J13="","",J13+K13)</f>
        <v>288817</v>
      </c>
      <c r="M13" s="158"/>
    </row>
    <row r="14" spans="1:13" ht="12" customHeight="1">
      <c r="A14" s="322"/>
      <c r="B14" s="323" t="s">
        <v>60</v>
      </c>
      <c r="C14" s="324"/>
      <c r="D14" s="26">
        <v>66183</v>
      </c>
      <c r="E14" s="26">
        <v>181952</v>
      </c>
      <c r="F14" s="41">
        <v>248135</v>
      </c>
      <c r="G14" s="26">
        <v>19832</v>
      </c>
      <c r="H14" s="27">
        <v>9904</v>
      </c>
      <c r="I14" s="242">
        <v>29736.000000000004</v>
      </c>
      <c r="J14" s="27">
        <f t="shared" si="0"/>
        <v>86015</v>
      </c>
      <c r="K14" s="27">
        <f t="shared" si="0"/>
        <v>191856</v>
      </c>
      <c r="L14" s="29">
        <f>IF(J14="","",J14+K14)</f>
        <v>277871</v>
      </c>
    </row>
    <row r="15" spans="1:13" ht="12" customHeight="1">
      <c r="A15" s="322"/>
      <c r="B15" s="323" t="s">
        <v>61</v>
      </c>
      <c r="C15" s="324"/>
      <c r="D15" s="26">
        <v>60837</v>
      </c>
      <c r="E15" s="26">
        <v>174634</v>
      </c>
      <c r="F15" s="41">
        <v>235471</v>
      </c>
      <c r="G15" s="26">
        <v>18771</v>
      </c>
      <c r="H15" s="27">
        <v>8927.9999999999982</v>
      </c>
      <c r="I15" s="242">
        <v>27698.999999999996</v>
      </c>
      <c r="J15" s="27">
        <f t="shared" si="0"/>
        <v>79608</v>
      </c>
      <c r="K15" s="27">
        <f t="shared" si="0"/>
        <v>183562</v>
      </c>
      <c r="L15" s="29">
        <f>IF(J15="","",J15+K15)</f>
        <v>263170</v>
      </c>
    </row>
    <row r="16" spans="1:13" ht="12" customHeight="1">
      <c r="A16" s="325"/>
      <c r="B16" s="326" t="s">
        <v>99</v>
      </c>
      <c r="C16" s="327"/>
      <c r="D16" s="243">
        <v>58189.000000000007</v>
      </c>
      <c r="E16" s="243">
        <v>179514</v>
      </c>
      <c r="F16" s="41">
        <v>237703</v>
      </c>
      <c r="G16" s="243">
        <v>16580.000000000004</v>
      </c>
      <c r="H16" s="244">
        <v>9644</v>
      </c>
      <c r="I16" s="287">
        <v>26224.000000000004</v>
      </c>
      <c r="J16" s="244">
        <f t="shared" si="0"/>
        <v>74769.000000000015</v>
      </c>
      <c r="K16" s="244">
        <f t="shared" si="0"/>
        <v>189158</v>
      </c>
      <c r="L16" s="288">
        <f>IF(J16="","",J16+K16)</f>
        <v>263927</v>
      </c>
    </row>
    <row r="17" spans="1:12" ht="12" customHeight="1">
      <c r="A17" s="319" t="s">
        <v>141</v>
      </c>
      <c r="B17" s="320" t="s">
        <v>63</v>
      </c>
      <c r="C17" s="321"/>
      <c r="D17" s="40">
        <v>77436</v>
      </c>
      <c r="E17" s="40">
        <v>201480.00000000003</v>
      </c>
      <c r="F17" s="40">
        <v>278916</v>
      </c>
      <c r="G17" s="289"/>
      <c r="H17" s="293"/>
      <c r="I17" s="40">
        <v>36588</v>
      </c>
      <c r="J17" s="289"/>
      <c r="K17" s="289"/>
      <c r="L17" s="23">
        <f>IF(F17="","",F17+I17)</f>
        <v>315504</v>
      </c>
    </row>
    <row r="18" spans="1:12" ht="12" customHeight="1">
      <c r="A18" s="322"/>
      <c r="B18" s="323" t="s">
        <v>64</v>
      </c>
      <c r="C18" s="324"/>
      <c r="D18" s="41">
        <v>73398</v>
      </c>
      <c r="E18" s="41">
        <v>161282</v>
      </c>
      <c r="F18" s="41">
        <v>234680</v>
      </c>
      <c r="G18" s="290"/>
      <c r="H18" s="294"/>
      <c r="I18" s="41">
        <v>32304.000000000004</v>
      </c>
      <c r="J18" s="290"/>
      <c r="K18" s="290"/>
      <c r="L18" s="29">
        <f>IF(F18="","",F18+I18)</f>
        <v>266984</v>
      </c>
    </row>
    <row r="19" spans="1:12" ht="12" customHeight="1">
      <c r="A19" s="322"/>
      <c r="B19" s="323" t="s">
        <v>65</v>
      </c>
      <c r="C19" s="324"/>
      <c r="D19" s="41">
        <v>77008.999999999985</v>
      </c>
      <c r="E19" s="41">
        <v>219748</v>
      </c>
      <c r="F19" s="41">
        <v>296757</v>
      </c>
      <c r="G19" s="290"/>
      <c r="H19" s="294"/>
      <c r="I19" s="41">
        <v>33358</v>
      </c>
      <c r="J19" s="290"/>
      <c r="K19" s="290"/>
      <c r="L19" s="29">
        <f t="shared" ref="L19:L27" si="1">IF(F19="","",F19+I19)</f>
        <v>330115</v>
      </c>
    </row>
    <row r="20" spans="1:12" ht="12" customHeight="1">
      <c r="A20" s="322"/>
      <c r="B20" s="323" t="s">
        <v>66</v>
      </c>
      <c r="C20" s="324"/>
      <c r="D20" s="41">
        <v>78762.999999999985</v>
      </c>
      <c r="E20" s="41">
        <v>169989</v>
      </c>
      <c r="F20" s="41">
        <v>248751.99999999997</v>
      </c>
      <c r="G20" s="290"/>
      <c r="H20" s="294"/>
      <c r="I20" s="41">
        <v>27272</v>
      </c>
      <c r="J20" s="290"/>
      <c r="K20" s="290"/>
      <c r="L20" s="29">
        <f t="shared" si="1"/>
        <v>276024</v>
      </c>
    </row>
    <row r="21" spans="1:12" ht="12" customHeight="1">
      <c r="A21" s="322"/>
      <c r="B21" s="323" t="s">
        <v>67</v>
      </c>
      <c r="C21" s="324"/>
      <c r="D21" s="41">
        <v>65835</v>
      </c>
      <c r="E21" s="41">
        <v>188483.99999999997</v>
      </c>
      <c r="F21" s="41">
        <v>254319</v>
      </c>
      <c r="G21" s="290"/>
      <c r="H21" s="294"/>
      <c r="I21" s="41">
        <v>29641</v>
      </c>
      <c r="J21" s="290"/>
      <c r="K21" s="290"/>
      <c r="L21" s="29">
        <f t="shared" si="1"/>
        <v>283960</v>
      </c>
    </row>
    <row r="22" spans="1:12" ht="12" customHeight="1">
      <c r="A22" s="322"/>
      <c r="B22" s="323" t="s">
        <v>68</v>
      </c>
      <c r="C22" s="324"/>
      <c r="D22" s="41">
        <v>59997</v>
      </c>
      <c r="E22" s="41">
        <v>189264</v>
      </c>
      <c r="F22" s="41">
        <v>249260.99999999997</v>
      </c>
      <c r="G22" s="290"/>
      <c r="H22" s="294"/>
      <c r="I22" s="41">
        <v>29079</v>
      </c>
      <c r="J22" s="291"/>
      <c r="K22" s="291"/>
      <c r="L22" s="29">
        <f t="shared" si="1"/>
        <v>278340</v>
      </c>
    </row>
    <row r="23" spans="1:12" ht="12" customHeight="1">
      <c r="A23" s="322"/>
      <c r="B23" s="323" t="s">
        <v>69</v>
      </c>
      <c r="C23" s="324"/>
      <c r="D23" s="41">
        <v>62405</v>
      </c>
      <c r="E23" s="41">
        <v>182300</v>
      </c>
      <c r="F23" s="41">
        <v>244704.99999999997</v>
      </c>
      <c r="G23" s="290"/>
      <c r="H23" s="294"/>
      <c r="I23" s="41">
        <v>29362.000000000004</v>
      </c>
      <c r="J23" s="291"/>
      <c r="K23" s="291"/>
      <c r="L23" s="29">
        <f t="shared" si="1"/>
        <v>274067</v>
      </c>
    </row>
    <row r="24" spans="1:12" ht="12" customHeight="1">
      <c r="A24" s="322"/>
      <c r="B24" s="323" t="s">
        <v>70</v>
      </c>
      <c r="C24" s="324"/>
      <c r="D24" s="41">
        <v>60097</v>
      </c>
      <c r="E24" s="41">
        <v>172201</v>
      </c>
      <c r="F24" s="41">
        <v>232297.99999999997</v>
      </c>
      <c r="G24" s="290"/>
      <c r="H24" s="294"/>
      <c r="I24" s="41">
        <v>28667</v>
      </c>
      <c r="J24" s="290"/>
      <c r="K24" s="290"/>
      <c r="L24" s="29">
        <f t="shared" si="1"/>
        <v>260964.99999999997</v>
      </c>
    </row>
    <row r="25" spans="1:12" ht="12" customHeight="1">
      <c r="A25" s="322"/>
      <c r="B25" s="323" t="s">
        <v>71</v>
      </c>
      <c r="C25" s="324"/>
      <c r="D25" s="41">
        <v>57400.000000000007</v>
      </c>
      <c r="E25" s="41">
        <v>165285</v>
      </c>
      <c r="F25" s="41">
        <v>222685.00000000003</v>
      </c>
      <c r="G25" s="290"/>
      <c r="H25" s="294"/>
      <c r="I25" s="41">
        <v>28352.999999999993</v>
      </c>
      <c r="J25" s="290"/>
      <c r="K25" s="290"/>
      <c r="L25" s="29">
        <f t="shared" si="1"/>
        <v>251038.00000000003</v>
      </c>
    </row>
    <row r="26" spans="1:12" ht="12" customHeight="1">
      <c r="A26" s="322"/>
      <c r="B26" s="323" t="s">
        <v>72</v>
      </c>
      <c r="C26" s="324"/>
      <c r="D26" s="41">
        <v>57952.999999999993</v>
      </c>
      <c r="E26" s="41">
        <v>156453.99999999997</v>
      </c>
      <c r="F26" s="41">
        <v>214406.99999999997</v>
      </c>
      <c r="G26" s="290"/>
      <c r="H26" s="294"/>
      <c r="I26" s="41">
        <v>23005.000000000004</v>
      </c>
      <c r="J26" s="291"/>
      <c r="K26" s="291"/>
      <c r="L26" s="29">
        <f t="shared" si="1"/>
        <v>237411.99999999997</v>
      </c>
    </row>
    <row r="27" spans="1:12" ht="12" customHeight="1">
      <c r="A27" s="322"/>
      <c r="B27" s="323" t="s">
        <v>73</v>
      </c>
      <c r="C27" s="324"/>
      <c r="D27" s="41">
        <v>57648.000000000007</v>
      </c>
      <c r="E27" s="41">
        <v>222149.99999999997</v>
      </c>
      <c r="F27" s="41">
        <v>279798</v>
      </c>
      <c r="G27" s="290"/>
      <c r="H27" s="294"/>
      <c r="I27" s="41">
        <v>24015</v>
      </c>
      <c r="J27" s="290"/>
      <c r="K27" s="290"/>
      <c r="L27" s="29">
        <f t="shared" si="1"/>
        <v>303813</v>
      </c>
    </row>
    <row r="28" spans="1:12" ht="12" customHeight="1" thickBot="1">
      <c r="A28" s="328"/>
      <c r="B28" s="329" t="s">
        <v>74</v>
      </c>
      <c r="C28" s="330"/>
      <c r="D28" s="245">
        <v>55231</v>
      </c>
      <c r="E28" s="246">
        <v>157686.99999999997</v>
      </c>
      <c r="F28" s="246">
        <v>212918</v>
      </c>
      <c r="G28" s="292"/>
      <c r="H28" s="295"/>
      <c r="I28" s="246">
        <v>23188.000000000004</v>
      </c>
      <c r="J28" s="292"/>
      <c r="K28" s="292"/>
      <c r="L28" s="248">
        <f>IF(F28="","",F28+I28)</f>
        <v>236106</v>
      </c>
    </row>
    <row r="29" spans="1:12" ht="12" customHeight="1">
      <c r="A29" s="249"/>
      <c r="B29" s="178"/>
      <c r="C29" s="178"/>
      <c r="D29" s="178"/>
      <c r="E29" s="178"/>
      <c r="F29" s="250"/>
      <c r="G29" s="178"/>
      <c r="H29" s="178"/>
      <c r="I29" s="178"/>
      <c r="J29" s="158"/>
      <c r="K29" s="158"/>
      <c r="L29" s="158"/>
    </row>
    <row r="30" spans="1:12" ht="12" customHeight="1">
      <c r="A30" s="94"/>
      <c r="B30" s="179"/>
      <c r="C30" s="179"/>
      <c r="D30" s="179"/>
      <c r="E30" s="179"/>
      <c r="F30" s="177"/>
      <c r="G30" s="179"/>
      <c r="H30" s="179"/>
      <c r="I30" s="179"/>
    </row>
    <row r="32" spans="1:12" ht="15.75" thickBot="1">
      <c r="J32" s="158"/>
      <c r="K32" s="158"/>
      <c r="L32" s="158"/>
    </row>
    <row r="33" spans="1:15" ht="15.75" customHeight="1">
      <c r="A33" s="484" t="s">
        <v>160</v>
      </c>
      <c r="B33" s="485"/>
      <c r="C33" s="485"/>
      <c r="D33" s="485"/>
      <c r="E33" s="485"/>
      <c r="F33" s="485"/>
      <c r="G33" s="485"/>
      <c r="H33" s="485"/>
      <c r="I33" s="486"/>
      <c r="J33" s="254"/>
      <c r="K33" s="230"/>
      <c r="L33" s="230"/>
      <c r="M33" s="158"/>
    </row>
    <row r="34" spans="1:15" ht="15.75" customHeight="1">
      <c r="A34" s="487" t="s">
        <v>171</v>
      </c>
      <c r="B34" s="488"/>
      <c r="C34" s="488"/>
      <c r="D34" s="488"/>
      <c r="E34" s="488"/>
      <c r="F34" s="488"/>
      <c r="G34" s="488"/>
      <c r="H34" s="488"/>
      <c r="I34" s="489"/>
      <c r="J34" s="254"/>
      <c r="K34" s="230"/>
      <c r="L34" s="230"/>
      <c r="M34" s="158"/>
    </row>
    <row r="35" spans="1:15" ht="15.75" customHeight="1">
      <c r="A35" s="487" t="s">
        <v>103</v>
      </c>
      <c r="B35" s="488"/>
      <c r="C35" s="488"/>
      <c r="D35" s="488"/>
      <c r="E35" s="488"/>
      <c r="F35" s="488"/>
      <c r="G35" s="488"/>
      <c r="H35" s="488"/>
      <c r="I35" s="489"/>
      <c r="J35" s="254"/>
      <c r="K35" s="230"/>
      <c r="L35" s="230"/>
      <c r="M35" s="158"/>
    </row>
    <row r="36" spans="1:15" ht="15.75" customHeight="1">
      <c r="A36" s="565"/>
      <c r="B36" s="537"/>
      <c r="C36" s="537"/>
      <c r="D36" s="537"/>
      <c r="E36" s="537"/>
      <c r="F36" s="537"/>
      <c r="G36" s="537"/>
      <c r="H36" s="537"/>
      <c r="I36" s="538"/>
      <c r="J36" s="254"/>
      <c r="K36" s="230"/>
      <c r="L36" s="230"/>
      <c r="M36" s="158"/>
    </row>
    <row r="37" spans="1:15" ht="15.75" customHeight="1" thickBot="1">
      <c r="A37" s="569"/>
      <c r="B37" s="571"/>
      <c r="C37" s="571"/>
      <c r="D37" s="571"/>
      <c r="E37" s="571"/>
      <c r="F37" s="571"/>
      <c r="G37" s="571"/>
      <c r="H37" s="571"/>
      <c r="I37" s="572"/>
      <c r="J37" s="254"/>
      <c r="K37" s="230"/>
      <c r="L37" s="230"/>
      <c r="M37" s="158"/>
      <c r="O37" s="259"/>
    </row>
    <row r="38" spans="1:15" ht="12" customHeight="1">
      <c r="A38" s="48" t="s">
        <v>96</v>
      </c>
      <c r="B38" s="64"/>
      <c r="C38" s="34"/>
      <c r="D38" s="263" t="s">
        <v>6</v>
      </c>
      <c r="E38" s="263" t="s">
        <v>33</v>
      </c>
      <c r="F38" s="263" t="s">
        <v>77</v>
      </c>
      <c r="G38" s="263" t="s">
        <v>12</v>
      </c>
      <c r="H38" s="263" t="s">
        <v>102</v>
      </c>
      <c r="I38" s="472" t="s">
        <v>46</v>
      </c>
      <c r="J38" s="64"/>
      <c r="K38" s="64"/>
      <c r="L38" s="64"/>
      <c r="M38" s="158"/>
    </row>
    <row r="39" spans="1:15" ht="12" customHeight="1">
      <c r="A39" s="51"/>
      <c r="B39" s="241"/>
      <c r="C39" s="251"/>
      <c r="D39" s="231"/>
      <c r="E39" s="231"/>
      <c r="F39" s="231"/>
      <c r="G39" s="231"/>
      <c r="H39" s="231"/>
      <c r="I39" s="473"/>
      <c r="J39" s="256"/>
      <c r="K39" s="258"/>
      <c r="L39" s="257"/>
      <c r="M39" s="158"/>
    </row>
    <row r="40" spans="1:15" ht="12" customHeight="1">
      <c r="A40" s="319" t="s">
        <v>131</v>
      </c>
      <c r="B40" s="320"/>
      <c r="C40" s="321"/>
      <c r="D40" s="41">
        <v>10103</v>
      </c>
      <c r="E40" s="41">
        <v>47967</v>
      </c>
      <c r="F40" s="41">
        <v>68985</v>
      </c>
      <c r="G40" s="26">
        <v>36698</v>
      </c>
      <c r="H40" s="27">
        <v>44932</v>
      </c>
      <c r="I40" s="252">
        <v>208685</v>
      </c>
      <c r="J40" s="30"/>
      <c r="K40" s="64"/>
      <c r="L40" s="65"/>
      <c r="M40" s="158"/>
    </row>
    <row r="41" spans="1:15" ht="12" customHeight="1">
      <c r="A41" s="331" t="s">
        <v>142</v>
      </c>
      <c r="B41" s="332"/>
      <c r="C41" s="333"/>
      <c r="D41" s="426">
        <v>10273</v>
      </c>
      <c r="E41" s="427">
        <v>54066</v>
      </c>
      <c r="F41" s="427">
        <v>81305</v>
      </c>
      <c r="G41" s="426">
        <v>34424</v>
      </c>
      <c r="H41" s="428">
        <v>37734</v>
      </c>
      <c r="I41" s="425">
        <v>217802</v>
      </c>
      <c r="J41" s="30"/>
      <c r="K41" s="64"/>
      <c r="L41" s="65"/>
      <c r="M41" s="158"/>
    </row>
    <row r="42" spans="1:15" ht="12" customHeight="1">
      <c r="A42" s="334" t="s">
        <v>129</v>
      </c>
      <c r="B42" s="335" t="s">
        <v>59</v>
      </c>
      <c r="C42" s="336"/>
      <c r="D42" s="260">
        <v>9969.0000000000018</v>
      </c>
      <c r="E42" s="260">
        <v>49598.000000000007</v>
      </c>
      <c r="F42" s="260">
        <v>67873</v>
      </c>
      <c r="G42" s="255">
        <v>32814</v>
      </c>
      <c r="H42" s="261">
        <v>37184</v>
      </c>
      <c r="I42" s="262">
        <f>IF(D42="","",SUM(D42:H42))</f>
        <v>197438</v>
      </c>
      <c r="J42" s="30"/>
      <c r="K42" s="64"/>
      <c r="L42" s="65"/>
      <c r="M42" s="158"/>
    </row>
    <row r="43" spans="1:15" ht="12" customHeight="1">
      <c r="A43" s="322"/>
      <c r="B43" s="323" t="s">
        <v>60</v>
      </c>
      <c r="C43" s="324"/>
      <c r="D43" s="41">
        <v>7712</v>
      </c>
      <c r="E43" s="41">
        <v>45182.999999999993</v>
      </c>
      <c r="F43" s="41">
        <v>77998</v>
      </c>
      <c r="G43" s="26">
        <v>27828</v>
      </c>
      <c r="H43" s="27">
        <v>33691</v>
      </c>
      <c r="I43" s="252">
        <f>IF(D43="","",SUM(D43:H43))</f>
        <v>192412</v>
      </c>
      <c r="J43" s="30"/>
      <c r="K43" s="64"/>
      <c r="L43" s="65"/>
      <c r="M43" s="158"/>
    </row>
    <row r="44" spans="1:15" ht="12" customHeight="1">
      <c r="A44" s="322"/>
      <c r="B44" s="323" t="s">
        <v>61</v>
      </c>
      <c r="C44" s="324"/>
      <c r="D44" s="41">
        <v>12302</v>
      </c>
      <c r="E44" s="41">
        <v>59626.999999999993</v>
      </c>
      <c r="F44" s="41">
        <v>94560</v>
      </c>
      <c r="G44" s="26">
        <v>34223</v>
      </c>
      <c r="H44" s="27">
        <v>39661</v>
      </c>
      <c r="I44" s="252">
        <f t="shared" ref="I44:I49" si="2">IF(D44="","",SUM(D44:H44))</f>
        <v>240373</v>
      </c>
      <c r="J44" s="30"/>
      <c r="K44" s="64"/>
      <c r="L44" s="65"/>
      <c r="M44" s="158"/>
    </row>
    <row r="45" spans="1:15" ht="12" customHeight="1">
      <c r="A45" s="322"/>
      <c r="B45" s="323" t="s">
        <v>62</v>
      </c>
      <c r="C45" s="324"/>
      <c r="D45" s="41">
        <v>11706.999999999998</v>
      </c>
      <c r="E45" s="41">
        <v>62031</v>
      </c>
      <c r="F45" s="41">
        <v>84253</v>
      </c>
      <c r="G45" s="26">
        <v>43624</v>
      </c>
      <c r="H45" s="27">
        <v>41440</v>
      </c>
      <c r="I45" s="252">
        <f t="shared" si="2"/>
        <v>243055</v>
      </c>
      <c r="J45" s="30"/>
      <c r="K45" s="64"/>
      <c r="L45" s="65"/>
      <c r="M45" s="65"/>
    </row>
    <row r="46" spans="1:15" ht="12" customHeight="1">
      <c r="A46" s="322"/>
      <c r="B46" s="323"/>
      <c r="C46" s="324"/>
      <c r="D46" s="41"/>
      <c r="E46" s="41"/>
      <c r="F46" s="41"/>
      <c r="G46" s="26"/>
      <c r="H46" s="27"/>
      <c r="I46" s="252"/>
      <c r="J46" s="30"/>
      <c r="K46" s="64"/>
      <c r="L46" s="65"/>
      <c r="M46" s="158"/>
    </row>
    <row r="47" spans="1:15" ht="12" customHeight="1">
      <c r="A47" s="337" t="s">
        <v>141</v>
      </c>
      <c r="B47" s="335" t="s">
        <v>59</v>
      </c>
      <c r="C47" s="336"/>
      <c r="D47" s="41">
        <v>12567</v>
      </c>
      <c r="E47" s="41">
        <v>81014</v>
      </c>
      <c r="F47" s="41">
        <v>101476</v>
      </c>
      <c r="G47" s="26">
        <v>40790</v>
      </c>
      <c r="H47" s="27">
        <v>52970.000000000007</v>
      </c>
      <c r="I47" s="252">
        <f t="shared" si="2"/>
        <v>288817</v>
      </c>
      <c r="J47" s="30"/>
      <c r="K47" s="64"/>
      <c r="L47" s="65"/>
      <c r="M47" s="158"/>
    </row>
    <row r="48" spans="1:15" ht="12" customHeight="1">
      <c r="A48" s="322"/>
      <c r="B48" s="323" t="s">
        <v>60</v>
      </c>
      <c r="C48" s="324"/>
      <c r="D48" s="41">
        <v>12176.000000000002</v>
      </c>
      <c r="E48" s="41">
        <v>70876</v>
      </c>
      <c r="F48" s="41">
        <v>98532</v>
      </c>
      <c r="G48" s="26">
        <v>46378.000000000007</v>
      </c>
      <c r="H48" s="27">
        <v>49909</v>
      </c>
      <c r="I48" s="252">
        <f t="shared" si="2"/>
        <v>277871</v>
      </c>
      <c r="J48" s="30"/>
      <c r="K48" s="64"/>
      <c r="L48" s="65"/>
      <c r="M48" s="158"/>
    </row>
    <row r="49" spans="1:13" ht="12" customHeight="1">
      <c r="A49" s="322"/>
      <c r="B49" s="323" t="s">
        <v>61</v>
      </c>
      <c r="C49" s="324"/>
      <c r="D49" s="41">
        <v>9989</v>
      </c>
      <c r="E49" s="41">
        <v>62503</v>
      </c>
      <c r="F49" s="41">
        <v>102950</v>
      </c>
      <c r="G49" s="26">
        <v>42334.999999999993</v>
      </c>
      <c r="H49" s="27">
        <v>45393</v>
      </c>
      <c r="I49" s="252">
        <f t="shared" si="2"/>
        <v>263170</v>
      </c>
      <c r="J49" s="30"/>
      <c r="K49" s="64"/>
      <c r="L49" s="65"/>
      <c r="M49" s="158"/>
    </row>
    <row r="50" spans="1:13" ht="12" customHeight="1" thickBot="1">
      <c r="A50" s="328"/>
      <c r="B50" s="329" t="s">
        <v>62</v>
      </c>
      <c r="C50" s="330"/>
      <c r="D50" s="245">
        <v>15120</v>
      </c>
      <c r="E50" s="246">
        <v>62954.000000000007</v>
      </c>
      <c r="F50" s="246">
        <v>95972.000000000015</v>
      </c>
      <c r="G50" s="245">
        <v>47141</v>
      </c>
      <c r="H50" s="247">
        <v>42739.999999999993</v>
      </c>
      <c r="I50" s="253">
        <f>IF(D50="","",SUM(D50:H50))</f>
        <v>263927</v>
      </c>
      <c r="J50" s="30"/>
      <c r="K50" s="64"/>
      <c r="L50" s="65"/>
      <c r="M50" s="158"/>
    </row>
    <row r="51" spans="1:13" ht="1.9" customHeight="1">
      <c r="A51" s="240"/>
      <c r="B51" s="240"/>
      <c r="C51" s="358"/>
      <c r="D51" s="64"/>
      <c r="E51" s="65"/>
      <c r="F51" s="65"/>
      <c r="G51" s="64"/>
      <c r="H51" s="359"/>
      <c r="I51" s="65"/>
      <c r="J51" s="64"/>
      <c r="K51" s="64"/>
      <c r="L51" s="65"/>
      <c r="M51" s="158"/>
    </row>
    <row r="52" spans="1:13" s="10" customFormat="1" ht="12" customHeight="1">
      <c r="A52" s="417" t="str">
        <f>Titles!$A$12</f>
        <v>1 Data for 2020 and 2021 based on 2016 Census Definitions.</v>
      </c>
      <c r="B52" s="240"/>
      <c r="C52" s="240"/>
      <c r="D52" s="240"/>
      <c r="E52" s="418"/>
      <c r="G52" s="240"/>
      <c r="H52" s="416"/>
      <c r="I52" s="240"/>
      <c r="J52" s="240"/>
      <c r="K52" s="341"/>
      <c r="L52" s="11"/>
    </row>
    <row r="53" spans="1:13" s="12" customFormat="1" ht="12">
      <c r="A53" s="402" t="s">
        <v>118</v>
      </c>
      <c r="B53" s="87"/>
      <c r="C53" s="408"/>
      <c r="D53" s="360"/>
      <c r="E53" s="54"/>
      <c r="F53" s="360"/>
      <c r="G53" s="360"/>
      <c r="H53" s="409"/>
      <c r="I53" s="79"/>
    </row>
    <row r="54" spans="1:13" s="347" customFormat="1" ht="10.9" customHeight="1">
      <c r="A54" s="361" t="s">
        <v>115</v>
      </c>
      <c r="B54" s="348"/>
      <c r="C54" s="348"/>
      <c r="D54" s="348"/>
      <c r="E54" s="401"/>
      <c r="F54" s="346"/>
      <c r="G54" s="346"/>
      <c r="H54" s="346"/>
    </row>
    <row r="55" spans="1:13" s="347" customFormat="1" ht="10.9" customHeight="1">
      <c r="B55" s="348"/>
      <c r="C55" s="348"/>
      <c r="D55" s="348"/>
      <c r="E55" s="362"/>
      <c r="F55" s="348"/>
      <c r="G55" s="348"/>
      <c r="H55" s="348"/>
    </row>
    <row r="56" spans="1:13" s="12" customFormat="1" ht="9.75" customHeight="1">
      <c r="A56" s="94"/>
      <c r="B56" s="179"/>
      <c r="C56" s="179"/>
      <c r="D56" s="179"/>
      <c r="E56" s="177"/>
      <c r="F56"/>
      <c r="G56" s="179"/>
      <c r="H56" s="179"/>
      <c r="I56" s="179"/>
    </row>
    <row r="57" spans="1:13" ht="9.75" customHeight="1"/>
  </sheetData>
  <phoneticPr fontId="11" type="noConversion"/>
  <pageMargins left="0.51181102362204722" right="0.51181102362204722" top="0.51181102362204722" bottom="0.51181102362204722" header="0.31496062992125984" footer="0.31496062992125984"/>
  <pageSetup scale="98" orientation="portrait" r:id="rId1"/>
  <headerFooter alignWithMargins="0"/>
  <ignoredErrors>
    <ignoredError sqref="J19:L28 H46:I46 J13:L13 J14:L16 J17:L17 J18:L18 I42 I43 I44:I45 I48:I50 I47 G17:H17 G28:H28 D46:G46 G18:H18 G19:H19 G20:H20 G21:H21 G22:H22 G23:H23 G24:H24 G25:H25 G26:H26 G27:H27" unlockedFormula="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L41"/>
  <sheetViews>
    <sheetView showGridLines="0" zoomScaleNormal="100" workbookViewId="0"/>
  </sheetViews>
  <sheetFormatPr defaultColWidth="11.5546875" defaultRowHeight="15"/>
  <cols>
    <col min="1" max="1" width="4.77734375" customWidth="1"/>
    <col min="2" max="3" width="8.33203125" customWidth="1"/>
    <col min="4" max="4" width="9.77734375" customWidth="1"/>
    <col min="5" max="5" width="10.21875" customWidth="1"/>
    <col min="6" max="6" width="10.77734375" customWidth="1"/>
    <col min="7" max="7" width="12.77734375" customWidth="1"/>
    <col min="8" max="8" width="9.77734375" customWidth="1"/>
  </cols>
  <sheetData>
    <row r="1" spans="1:8" ht="15.95" customHeight="1">
      <c r="A1" s="493" t="s">
        <v>157</v>
      </c>
      <c r="B1" s="494"/>
      <c r="C1" s="494"/>
      <c r="D1" s="494"/>
      <c r="E1" s="494"/>
      <c r="F1" s="494"/>
      <c r="G1" s="494"/>
      <c r="H1" s="495"/>
    </row>
    <row r="2" spans="1:8" ht="15.95" customHeight="1">
      <c r="A2" s="496" t="s">
        <v>169</v>
      </c>
      <c r="B2" s="497"/>
      <c r="C2" s="497"/>
      <c r="D2" s="497"/>
      <c r="E2" s="497"/>
      <c r="F2" s="497"/>
      <c r="G2" s="497"/>
      <c r="H2" s="498"/>
    </row>
    <row r="3" spans="1:8" ht="31.5" customHeight="1" thickBot="1">
      <c r="A3" s="577"/>
      <c r="B3" s="578"/>
      <c r="C3" s="578"/>
      <c r="D3" s="578"/>
      <c r="E3" s="578"/>
      <c r="F3" s="578"/>
      <c r="G3" s="578"/>
      <c r="H3" s="579"/>
    </row>
    <row r="4" spans="1:8" ht="12" customHeight="1">
      <c r="A4" s="122"/>
      <c r="B4" s="95"/>
      <c r="C4" s="124"/>
      <c r="D4" s="98" t="s">
        <v>79</v>
      </c>
      <c r="E4" s="125" t="s">
        <v>83</v>
      </c>
      <c r="F4" s="98" t="s">
        <v>80</v>
      </c>
      <c r="G4" s="98" t="s">
        <v>81</v>
      </c>
      <c r="H4" s="104" t="s">
        <v>46</v>
      </c>
    </row>
    <row r="5" spans="1:8" ht="12" customHeight="1">
      <c r="A5" s="83"/>
      <c r="B5" s="92"/>
      <c r="C5" s="103"/>
      <c r="D5" s="99"/>
      <c r="E5" s="98" t="s">
        <v>82</v>
      </c>
      <c r="F5" s="99"/>
      <c r="G5" s="98"/>
      <c r="H5" s="466"/>
    </row>
    <row r="6" spans="1:8" ht="12" customHeight="1">
      <c r="A6" s="83"/>
      <c r="B6" s="92"/>
      <c r="C6" s="103"/>
      <c r="D6" s="465"/>
      <c r="E6" s="99"/>
      <c r="F6" s="465"/>
      <c r="G6" s="98"/>
      <c r="H6" s="105"/>
    </row>
    <row r="7" spans="1:8" ht="12" customHeight="1">
      <c r="A7" s="154" t="s">
        <v>96</v>
      </c>
      <c r="B7" s="148"/>
      <c r="C7" s="155"/>
      <c r="D7" s="155"/>
      <c r="E7" s="153"/>
      <c r="F7" s="155"/>
      <c r="G7" s="153"/>
      <c r="H7" s="157"/>
    </row>
    <row r="8" spans="1:8" ht="12" customHeight="1">
      <c r="A8" s="137" t="s">
        <v>131</v>
      </c>
      <c r="B8" s="159"/>
      <c r="C8" s="187"/>
      <c r="D8" s="421">
        <v>945</v>
      </c>
      <c r="E8" s="421">
        <v>1504</v>
      </c>
      <c r="F8" s="421">
        <v>4719</v>
      </c>
      <c r="G8" s="421">
        <v>2935</v>
      </c>
      <c r="H8" s="690">
        <v>10103</v>
      </c>
    </row>
    <row r="9" spans="1:8" ht="12" customHeight="1">
      <c r="A9" s="85" t="s">
        <v>142</v>
      </c>
      <c r="B9" s="93"/>
      <c r="C9" s="103"/>
      <c r="D9" s="421">
        <v>763</v>
      </c>
      <c r="E9" s="421">
        <v>1162</v>
      </c>
      <c r="F9" s="421">
        <v>4865</v>
      </c>
      <c r="G9" s="421">
        <v>3483</v>
      </c>
      <c r="H9" s="429">
        <v>10273</v>
      </c>
    </row>
    <row r="10" spans="1:8" ht="12" customHeight="1">
      <c r="A10" s="110">
        <v>2020</v>
      </c>
      <c r="B10" s="160" t="s">
        <v>59</v>
      </c>
      <c r="C10" s="169"/>
      <c r="D10" s="112">
        <v>658</v>
      </c>
      <c r="E10" s="112">
        <v>947.00000000000011</v>
      </c>
      <c r="F10" s="112">
        <v>4490</v>
      </c>
      <c r="G10" s="112">
        <v>3873.9999999999995</v>
      </c>
      <c r="H10" s="219">
        <f t="shared" ref="H10:H17" si="0">IF(D10="","",SUM(D10:G10))</f>
        <v>9969</v>
      </c>
    </row>
    <row r="11" spans="1:8" ht="12" customHeight="1">
      <c r="A11" s="120"/>
      <c r="B11" s="143" t="s">
        <v>60</v>
      </c>
      <c r="C11" s="170"/>
      <c r="D11" s="116">
        <v>512</v>
      </c>
      <c r="E11" s="116">
        <v>1562</v>
      </c>
      <c r="F11" s="116">
        <v>3003</v>
      </c>
      <c r="G11" s="116">
        <v>2635</v>
      </c>
      <c r="H11" s="220">
        <f t="shared" si="0"/>
        <v>7712</v>
      </c>
    </row>
    <row r="12" spans="1:8" ht="12" customHeight="1">
      <c r="A12" s="120"/>
      <c r="B12" s="143" t="s">
        <v>61</v>
      </c>
      <c r="C12" s="170"/>
      <c r="D12" s="116">
        <v>911.99999999999989</v>
      </c>
      <c r="E12" s="116">
        <v>1331</v>
      </c>
      <c r="F12" s="116">
        <v>6218</v>
      </c>
      <c r="G12" s="116">
        <v>3840.9999999999995</v>
      </c>
      <c r="H12" s="220">
        <f t="shared" si="0"/>
        <v>12302</v>
      </c>
    </row>
    <row r="13" spans="1:8" ht="12" customHeight="1">
      <c r="A13" s="154"/>
      <c r="B13" s="161" t="s">
        <v>62</v>
      </c>
      <c r="C13" s="188"/>
      <c r="D13" s="116">
        <v>927.00000000000011</v>
      </c>
      <c r="E13" s="116">
        <v>1049</v>
      </c>
      <c r="F13" s="116">
        <v>5749.9999999999991</v>
      </c>
      <c r="G13" s="116">
        <v>3981.0000000000005</v>
      </c>
      <c r="H13" s="220">
        <f t="shared" si="0"/>
        <v>11707</v>
      </c>
    </row>
    <row r="14" spans="1:8" ht="12" customHeight="1">
      <c r="A14" s="110">
        <v>2021</v>
      </c>
      <c r="B14" s="160" t="s">
        <v>59</v>
      </c>
      <c r="C14" s="169"/>
      <c r="D14" s="112">
        <v>1467</v>
      </c>
      <c r="E14" s="112">
        <v>1281</v>
      </c>
      <c r="F14" s="112">
        <v>5508</v>
      </c>
      <c r="G14" s="112">
        <v>4311</v>
      </c>
      <c r="H14" s="219">
        <f t="shared" si="0"/>
        <v>12567</v>
      </c>
    </row>
    <row r="15" spans="1:8" ht="12" customHeight="1">
      <c r="A15" s="120"/>
      <c r="B15" s="143" t="s">
        <v>60</v>
      </c>
      <c r="C15" s="170"/>
      <c r="D15" s="116">
        <v>1184.0000000000002</v>
      </c>
      <c r="E15" s="116">
        <v>1486</v>
      </c>
      <c r="F15" s="116">
        <v>5117.9999999999991</v>
      </c>
      <c r="G15" s="116">
        <v>4388</v>
      </c>
      <c r="H15" s="220">
        <f t="shared" si="0"/>
        <v>12176</v>
      </c>
    </row>
    <row r="16" spans="1:8" ht="12" customHeight="1">
      <c r="A16" s="120"/>
      <c r="B16" s="143" t="s">
        <v>61</v>
      </c>
      <c r="C16" s="170"/>
      <c r="D16" s="116">
        <v>839.00000000000023</v>
      </c>
      <c r="E16" s="116">
        <v>1226</v>
      </c>
      <c r="F16" s="116">
        <v>4172.0000000000009</v>
      </c>
      <c r="G16" s="116">
        <v>3752</v>
      </c>
      <c r="H16" s="220">
        <f t="shared" si="0"/>
        <v>9989</v>
      </c>
    </row>
    <row r="17" spans="1:9" ht="12" customHeight="1" thickBot="1">
      <c r="A17" s="265"/>
      <c r="B17" s="266" t="s">
        <v>62</v>
      </c>
      <c r="C17" s="267"/>
      <c r="D17" s="211">
        <v>1025.0000000000002</v>
      </c>
      <c r="E17" s="211">
        <v>1328</v>
      </c>
      <c r="F17" s="211">
        <v>8991</v>
      </c>
      <c r="G17" s="211">
        <v>3776</v>
      </c>
      <c r="H17" s="222">
        <f t="shared" si="0"/>
        <v>15120</v>
      </c>
    </row>
    <row r="18" spans="1:9" ht="12" customHeight="1">
      <c r="A18" s="270"/>
      <c r="B18" s="88"/>
      <c r="C18" s="264"/>
      <c r="D18" s="264"/>
      <c r="E18" s="264"/>
      <c r="F18" s="264"/>
      <c r="G18" s="264"/>
      <c r="H18" s="264"/>
      <c r="I18" s="158"/>
    </row>
    <row r="19" spans="1:9" ht="12" customHeight="1">
      <c r="A19" s="88"/>
      <c r="B19" s="88"/>
      <c r="C19" s="264"/>
      <c r="D19" s="264"/>
      <c r="E19" s="264"/>
      <c r="F19" s="264"/>
      <c r="G19" s="264"/>
      <c r="H19" s="264"/>
      <c r="I19" s="158"/>
    </row>
    <row r="20" spans="1:9" ht="12" customHeight="1">
      <c r="A20" s="88"/>
      <c r="B20" s="88"/>
      <c r="C20" s="264"/>
      <c r="D20" s="264"/>
      <c r="E20" s="264"/>
      <c r="F20" s="264"/>
      <c r="G20" s="264"/>
      <c r="H20" s="264"/>
      <c r="I20" s="158"/>
    </row>
    <row r="21" spans="1:9" ht="12" customHeight="1" thickBot="1">
      <c r="A21" s="271"/>
      <c r="B21" s="88"/>
      <c r="C21" s="264"/>
      <c r="D21" s="264"/>
      <c r="E21" s="264"/>
      <c r="F21" s="264"/>
      <c r="G21" s="264"/>
      <c r="H21" s="264"/>
      <c r="I21" s="158"/>
    </row>
    <row r="22" spans="1:9" ht="15.95" customHeight="1">
      <c r="A22" s="493" t="s">
        <v>159</v>
      </c>
      <c r="B22" s="494"/>
      <c r="C22" s="494"/>
      <c r="D22" s="494"/>
      <c r="E22" s="494"/>
      <c r="F22" s="494"/>
      <c r="G22" s="495"/>
      <c r="H22" s="268"/>
      <c r="I22" s="158"/>
    </row>
    <row r="23" spans="1:9" ht="15.95" customHeight="1">
      <c r="A23" s="496" t="s">
        <v>170</v>
      </c>
      <c r="B23" s="497"/>
      <c r="C23" s="497"/>
      <c r="D23" s="497"/>
      <c r="E23" s="497"/>
      <c r="F23" s="497"/>
      <c r="G23" s="498"/>
      <c r="H23" s="268"/>
      <c r="I23" s="158"/>
    </row>
    <row r="24" spans="1:9" ht="15.95" customHeight="1">
      <c r="A24" s="496" t="s">
        <v>103</v>
      </c>
      <c r="B24" s="497"/>
      <c r="C24" s="497"/>
      <c r="D24" s="497"/>
      <c r="E24" s="497"/>
      <c r="F24" s="497"/>
      <c r="G24" s="498"/>
      <c r="H24" s="268"/>
      <c r="I24" s="158"/>
    </row>
    <row r="25" spans="1:9" ht="15.95" customHeight="1">
      <c r="A25" s="499"/>
      <c r="B25" s="517"/>
      <c r="C25" s="517"/>
      <c r="D25" s="517"/>
      <c r="E25" s="517"/>
      <c r="F25" s="517"/>
      <c r="G25" s="518"/>
      <c r="H25" s="268"/>
      <c r="I25" s="158"/>
    </row>
    <row r="26" spans="1:9" ht="15.95" customHeight="1" thickBot="1">
      <c r="A26" s="502"/>
      <c r="B26" s="580"/>
      <c r="C26" s="580"/>
      <c r="D26" s="580"/>
      <c r="E26" s="580"/>
      <c r="F26" s="580"/>
      <c r="G26" s="581"/>
      <c r="H26" s="269"/>
      <c r="I26" s="158"/>
    </row>
    <row r="27" spans="1:9" ht="12" customHeight="1">
      <c r="A27" s="154" t="s">
        <v>96</v>
      </c>
      <c r="B27" s="95"/>
      <c r="C27" s="124"/>
      <c r="D27" s="318" t="s">
        <v>84</v>
      </c>
      <c r="E27" s="318" t="s">
        <v>85</v>
      </c>
      <c r="F27" s="318" t="s">
        <v>86</v>
      </c>
      <c r="G27" s="685" t="s">
        <v>46</v>
      </c>
      <c r="H27" s="264"/>
      <c r="I27" s="158"/>
    </row>
    <row r="28" spans="1:9" ht="12" customHeight="1">
      <c r="A28" s="137" t="s">
        <v>131</v>
      </c>
      <c r="B28" s="159"/>
      <c r="C28" s="187"/>
      <c r="D28" s="421">
        <v>6946</v>
      </c>
      <c r="E28" s="421">
        <v>2427</v>
      </c>
      <c r="F28" s="421">
        <v>27325</v>
      </c>
      <c r="G28" s="686">
        <v>36698</v>
      </c>
      <c r="H28" s="264"/>
      <c r="I28" s="158"/>
    </row>
    <row r="29" spans="1:9" ht="12" customHeight="1">
      <c r="A29" s="85" t="s">
        <v>142</v>
      </c>
      <c r="B29" s="93"/>
      <c r="C29" s="103"/>
      <c r="D29" s="421">
        <v>7314</v>
      </c>
      <c r="E29" s="421">
        <v>3087</v>
      </c>
      <c r="F29" s="421">
        <v>24023</v>
      </c>
      <c r="G29" s="686">
        <v>34424</v>
      </c>
      <c r="H29" s="264"/>
      <c r="I29" s="264"/>
    </row>
    <row r="30" spans="1:9" ht="12" customHeight="1">
      <c r="A30" s="110">
        <v>2020</v>
      </c>
      <c r="B30" s="160" t="s">
        <v>59</v>
      </c>
      <c r="C30" s="169"/>
      <c r="D30" s="112">
        <v>6048</v>
      </c>
      <c r="E30" s="112">
        <v>2536</v>
      </c>
      <c r="F30" s="112">
        <v>24230</v>
      </c>
      <c r="G30" s="687">
        <f t="shared" ref="G30:G37" si="1">IF(F30="","",SUM(D30:F30))</f>
        <v>32814</v>
      </c>
      <c r="H30" s="264"/>
      <c r="I30" s="158"/>
    </row>
    <row r="31" spans="1:9" ht="12" customHeight="1">
      <c r="A31" s="296"/>
      <c r="B31" s="143" t="s">
        <v>60</v>
      </c>
      <c r="C31" s="170"/>
      <c r="D31" s="116">
        <v>6725.0000000000009</v>
      </c>
      <c r="E31" s="116">
        <v>2298</v>
      </c>
      <c r="F31" s="116">
        <v>18805</v>
      </c>
      <c r="G31" s="688">
        <f t="shared" si="1"/>
        <v>27828</v>
      </c>
      <c r="H31" s="178"/>
    </row>
    <row r="32" spans="1:9" ht="12" customHeight="1">
      <c r="A32" s="296"/>
      <c r="B32" s="143" t="s">
        <v>61</v>
      </c>
      <c r="C32" s="170"/>
      <c r="D32" s="116">
        <v>6128</v>
      </c>
      <c r="E32" s="116">
        <v>4356.0000000000009</v>
      </c>
      <c r="F32" s="116">
        <v>23738.999999999996</v>
      </c>
      <c r="G32" s="688">
        <f t="shared" si="1"/>
        <v>34223</v>
      </c>
      <c r="H32" s="179"/>
    </row>
    <row r="33" spans="1:12" ht="12" customHeight="1">
      <c r="A33" s="297"/>
      <c r="B33" s="161" t="s">
        <v>62</v>
      </c>
      <c r="C33" s="188"/>
      <c r="D33" s="116">
        <v>10443.999999999998</v>
      </c>
      <c r="E33" s="116">
        <v>3032</v>
      </c>
      <c r="F33" s="116">
        <v>30148</v>
      </c>
      <c r="G33" s="688">
        <f t="shared" si="1"/>
        <v>43624</v>
      </c>
      <c r="H33" s="179"/>
    </row>
    <row r="34" spans="1:12" ht="12" customHeight="1">
      <c r="A34" s="110">
        <v>2021</v>
      </c>
      <c r="B34" s="160" t="s">
        <v>59</v>
      </c>
      <c r="C34" s="169"/>
      <c r="D34" s="112">
        <v>7794.0000000000009</v>
      </c>
      <c r="E34" s="112">
        <v>4933</v>
      </c>
      <c r="F34" s="112">
        <v>28063.000000000004</v>
      </c>
      <c r="G34" s="687">
        <f t="shared" si="1"/>
        <v>40790</v>
      </c>
    </row>
    <row r="35" spans="1:12" ht="12" customHeight="1">
      <c r="A35" s="120"/>
      <c r="B35" s="143" t="s">
        <v>60</v>
      </c>
      <c r="C35" s="170"/>
      <c r="D35" s="116">
        <v>8643</v>
      </c>
      <c r="E35" s="116">
        <v>4709.0000000000009</v>
      </c>
      <c r="F35" s="116">
        <v>33026</v>
      </c>
      <c r="G35" s="688">
        <f t="shared" si="1"/>
        <v>46378</v>
      </c>
    </row>
    <row r="36" spans="1:12" ht="12" customHeight="1">
      <c r="A36" s="120"/>
      <c r="B36" s="143" t="s">
        <v>61</v>
      </c>
      <c r="C36" s="170"/>
      <c r="D36" s="116">
        <v>8466.9999999999982</v>
      </c>
      <c r="E36" s="116">
        <v>3888.0000000000005</v>
      </c>
      <c r="F36" s="116">
        <v>29979.999999999996</v>
      </c>
      <c r="G36" s="688">
        <f t="shared" si="1"/>
        <v>42334.999999999993</v>
      </c>
    </row>
    <row r="37" spans="1:12" ht="12" customHeight="1" thickBot="1">
      <c r="A37" s="265"/>
      <c r="B37" s="266" t="s">
        <v>62</v>
      </c>
      <c r="C37" s="267"/>
      <c r="D37" s="211">
        <v>7227</v>
      </c>
      <c r="E37" s="211">
        <v>3384</v>
      </c>
      <c r="F37" s="211">
        <v>36530</v>
      </c>
      <c r="G37" s="689">
        <f t="shared" si="1"/>
        <v>47141</v>
      </c>
    </row>
    <row r="38" spans="1:12" s="10" customFormat="1" ht="12" customHeight="1">
      <c r="A38" s="417" t="str">
        <f>+Titles!A12</f>
        <v>1 Data for 2020 and 2021 based on 2016 Census Definitions.</v>
      </c>
      <c r="B38" s="240"/>
      <c r="C38" s="240"/>
      <c r="D38" s="240"/>
      <c r="E38" s="418"/>
      <c r="G38" s="240"/>
      <c r="H38" s="416"/>
      <c r="I38" s="240"/>
      <c r="J38" s="240"/>
      <c r="K38" s="341"/>
      <c r="L38" s="11"/>
    </row>
    <row r="39" spans="1:12" s="347" customFormat="1" ht="10.9" customHeight="1">
      <c r="A39" s="361" t="str">
        <f>+Titles!A10</f>
        <v>Source: CMHC Starts and Completion Survey, Market Absorption Survey</v>
      </c>
      <c r="B39" s="348"/>
      <c r="C39" s="348"/>
      <c r="D39" s="348"/>
      <c r="E39" s="362"/>
      <c r="F39" s="348"/>
      <c r="G39" s="348"/>
      <c r="H39" s="348"/>
    </row>
    <row r="40" spans="1:12" ht="12" customHeight="1">
      <c r="A40" s="94"/>
      <c r="B40" s="179"/>
      <c r="C40" s="179"/>
      <c r="D40" s="179"/>
      <c r="E40" s="177"/>
      <c r="G40" s="179"/>
      <c r="H40" s="93"/>
      <c r="I40" s="93"/>
    </row>
    <row r="41" spans="1:12" ht="9.75" customHeight="1">
      <c r="H41" s="179"/>
      <c r="I41" s="179"/>
    </row>
  </sheetData>
  <phoneticPr fontId="11" type="noConversion"/>
  <pageMargins left="0.78740157480314965" right="0.51181102362204722" top="0.51181102362204722" bottom="0.51181102362204722" header="0.51181102362204722" footer="0.51181102362204722"/>
  <pageSetup orientation="portrait" r:id="rId1"/>
  <headerFooter alignWithMargins="0"/>
  <ignoredErrors>
    <ignoredError sqref="A15:A17 A11:A13 A31:A33" numberStoredAsText="1"/>
    <ignoredError sqref="G30:G37 H17 H10 H11 H12 H13 H14 H15 H16" unlockedFormula="1"/>
  </ignoredError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7"/>
  <sheetViews>
    <sheetView workbookViewId="0"/>
  </sheetViews>
  <sheetFormatPr defaultColWidth="8.88671875" defaultRowHeight="15"/>
  <cols>
    <col min="1" max="16384" width="8.88671875" style="592"/>
  </cols>
  <sheetData>
    <row r="1" spans="1:1" ht="18.75">
      <c r="A1" s="606" t="s">
        <v>193</v>
      </c>
    </row>
    <row r="3" spans="1:1">
      <c r="A3" s="592" t="s">
        <v>194</v>
      </c>
    </row>
    <row r="4" spans="1:1">
      <c r="A4" s="607" t="s">
        <v>195</v>
      </c>
    </row>
    <row r="5" spans="1:1">
      <c r="A5" s="607" t="s">
        <v>196</v>
      </c>
    </row>
    <row r="6" spans="1:1">
      <c r="A6" s="607" t="s">
        <v>197</v>
      </c>
    </row>
    <row r="7" spans="1:1">
      <c r="A7" s="592" t="s">
        <v>192</v>
      </c>
    </row>
  </sheetData>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5"/>
  <sheetViews>
    <sheetView workbookViewId="0"/>
  </sheetViews>
  <sheetFormatPr defaultColWidth="8.88671875" defaultRowHeight="15"/>
  <cols>
    <col min="1" max="1" width="98.88671875" style="592" customWidth="1"/>
    <col min="2" max="16384" width="8.88671875" style="592"/>
  </cols>
  <sheetData>
    <row r="1" spans="1:1" ht="18.75">
      <c r="A1" s="606" t="s">
        <v>198</v>
      </c>
    </row>
    <row r="2" spans="1:1" ht="135">
      <c r="A2" s="605" t="s">
        <v>199</v>
      </c>
    </row>
    <row r="3" spans="1:1">
      <c r="A3" s="605"/>
    </row>
    <row r="4" spans="1:1" ht="60">
      <c r="A4" s="605" t="s">
        <v>200</v>
      </c>
    </row>
    <row r="5" spans="1:1">
      <c r="A5" s="592" t="s">
        <v>201</v>
      </c>
    </row>
  </sheetData>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21"/>
  <sheetViews>
    <sheetView workbookViewId="0"/>
  </sheetViews>
  <sheetFormatPr defaultColWidth="8.88671875" defaultRowHeight="14.25"/>
  <cols>
    <col min="1" max="1" width="198.88671875" style="612" bestFit="1" customWidth="1"/>
    <col min="2" max="16384" width="8.88671875" style="612"/>
  </cols>
  <sheetData>
    <row r="1" spans="1:1" ht="23.25" customHeight="1">
      <c r="A1" s="606" t="s">
        <v>202</v>
      </c>
    </row>
    <row r="2" spans="1:1" ht="40.5" customHeight="1">
      <c r="A2" s="613" t="s">
        <v>210</v>
      </c>
    </row>
    <row r="3" spans="1:1" ht="40.5" customHeight="1">
      <c r="A3" s="613" t="s">
        <v>211</v>
      </c>
    </row>
    <row r="4" spans="1:1">
      <c r="A4" s="614" t="s">
        <v>203</v>
      </c>
    </row>
    <row r="5" spans="1:1">
      <c r="A5" s="614"/>
    </row>
    <row r="6" spans="1:1" ht="29.25">
      <c r="A6" s="613" t="s">
        <v>212</v>
      </c>
    </row>
    <row r="7" spans="1:1">
      <c r="A7" s="614"/>
    </row>
    <row r="8" spans="1:1" ht="15">
      <c r="A8" s="614" t="s">
        <v>213</v>
      </c>
    </row>
    <row r="9" spans="1:1">
      <c r="A9" s="614"/>
    </row>
    <row r="10" spans="1:1" ht="15">
      <c r="A10" s="614" t="s">
        <v>214</v>
      </c>
    </row>
    <row r="11" spans="1:1" ht="60.75" customHeight="1">
      <c r="A11" s="613" t="s">
        <v>215</v>
      </c>
    </row>
    <row r="12" spans="1:1" ht="15">
      <c r="A12" s="614" t="s">
        <v>216</v>
      </c>
    </row>
    <row r="13" spans="1:1">
      <c r="A13" s="614"/>
    </row>
    <row r="14" spans="1:1" ht="15">
      <c r="A14" s="614" t="s">
        <v>217</v>
      </c>
    </row>
    <row r="15" spans="1:1">
      <c r="A15" s="614"/>
    </row>
    <row r="16" spans="1:1" ht="15">
      <c r="A16" s="614" t="s">
        <v>218</v>
      </c>
    </row>
    <row r="17" spans="1:1">
      <c r="A17" s="614"/>
    </row>
    <row r="18" spans="1:1" ht="42.75" customHeight="1">
      <c r="A18" s="613" t="s">
        <v>219</v>
      </c>
    </row>
    <row r="20" spans="1:1" ht="15">
      <c r="A20" s="611" t="s">
        <v>204</v>
      </c>
    </row>
    <row r="21" spans="1:1" ht="28.5">
      <c r="A21" s="615" t="s">
        <v>205</v>
      </c>
    </row>
  </sheetData>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6"/>
  <sheetViews>
    <sheetView workbookViewId="0"/>
  </sheetViews>
  <sheetFormatPr defaultColWidth="8.88671875" defaultRowHeight="15"/>
  <cols>
    <col min="1" max="16384" width="8.88671875" style="592"/>
  </cols>
  <sheetData>
    <row r="1" spans="1:1" ht="18.75">
      <c r="A1" s="606" t="s">
        <v>206</v>
      </c>
    </row>
    <row r="2" spans="1:1" s="612" customFormat="1" ht="14.25">
      <c r="A2" s="612" t="s">
        <v>207</v>
      </c>
    </row>
    <row r="3" spans="1:1" s="612" customFormat="1">
      <c r="A3" s="612" t="s">
        <v>220</v>
      </c>
    </row>
    <row r="4" spans="1:1" s="612" customFormat="1">
      <c r="A4" s="612" t="s">
        <v>221</v>
      </c>
    </row>
    <row r="5" spans="1:1" s="612" customFormat="1">
      <c r="A5" s="612" t="s">
        <v>222</v>
      </c>
    </row>
    <row r="6" spans="1:1" s="612" customFormat="1">
      <c r="A6" s="612" t="s">
        <v>223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19</vt:i4>
      </vt:variant>
    </vt:vector>
  </HeadingPairs>
  <TitlesOfParts>
    <vt:vector size="44" baseType="lpstr">
      <vt:lpstr>Titles</vt:lpstr>
      <vt:lpstr>Index</vt:lpstr>
      <vt:lpstr>Notes</vt: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Tables 17-18</vt:lpstr>
      <vt:lpstr>Tables 19-20</vt:lpstr>
      <vt:lpstr>Symbols</vt:lpstr>
      <vt:lpstr>Survey Coverage</vt:lpstr>
      <vt:lpstr>Definitions</vt:lpstr>
      <vt:lpstr>Type of Dwelling</vt:lpstr>
      <vt:lpstr>'Table 1'!Print_Area</vt:lpstr>
      <vt:lpstr>'Table 10'!Print_Area</vt:lpstr>
      <vt:lpstr>'Table 11'!Print_Area</vt:lpstr>
      <vt:lpstr>'Table 12'!Print_Area</vt:lpstr>
      <vt:lpstr>'Table 13'!Print_Area</vt:lpstr>
      <vt:lpstr>'Table 14'!Print_Area</vt:lpstr>
      <vt:lpstr>'Table 15'!Print_Area</vt:lpstr>
      <vt:lpstr>'Table 16'!Print_Area</vt:lpstr>
      <vt:lpstr>'Table 2'!Print_Area</vt:lpstr>
      <vt:lpstr>'Table 3'!Print_Area</vt:lpstr>
      <vt:lpstr>'Table 4'!Print_Area</vt:lpstr>
      <vt:lpstr>'Table 5'!Print_Area</vt:lpstr>
      <vt:lpstr>'Table 6'!Print_Area</vt:lpstr>
      <vt:lpstr>'Table 7'!Print_Area</vt:lpstr>
      <vt:lpstr>'Table 8'!Print_Area</vt:lpstr>
      <vt:lpstr>'Table 9'!Print_Area</vt:lpstr>
      <vt:lpstr>'Tables 17-18'!Print_Area</vt:lpstr>
      <vt:lpstr>'Tables 19-20'!Print_Area</vt:lpstr>
      <vt:lpstr>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Josee Normand</dc:creator>
  <cp:lastModifiedBy>rcubides</cp:lastModifiedBy>
  <cp:lastPrinted>2019-12-02T19:21:02Z</cp:lastPrinted>
  <dcterms:created xsi:type="dcterms:W3CDTF">2010-02-01T20:46:31Z</dcterms:created>
  <dcterms:modified xsi:type="dcterms:W3CDTF">2022-01-13T00:56:29Z</dcterms:modified>
</cp:coreProperties>
</file>